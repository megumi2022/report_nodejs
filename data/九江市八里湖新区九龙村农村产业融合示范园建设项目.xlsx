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tabRatio="926" firstSheet="3" activeTab="4"/>
  </bookViews>
  <sheets>
    <sheet name="项目技术经济指标" sheetId="24" r:id="rId1"/>
    <sheet name="标准化指标设定" sheetId="30" r:id="rId2"/>
    <sheet name="总投资估算" sheetId="18" r:id="rId3"/>
    <sheet name="其他费自动计算" sheetId="12" r:id="rId4"/>
    <sheet name="分年计划及建设期利息" sheetId="25" r:id="rId5"/>
    <sheet name="信息采集表" sheetId="27" state="hidden" r:id="rId6"/>
    <sheet name="还本付息" sheetId="19" r:id="rId7"/>
    <sheet name="收入成本" sheetId="20" r:id="rId8"/>
    <sheet name="资金平衡表" sheetId="28" r:id="rId9"/>
    <sheet name="税费计算" sheetId="21" r:id="rId10"/>
    <sheet name="资金流入流出平衡表" sheetId="29" r:id="rId11"/>
    <sheet name="固定资产折旧" sheetId="23" r:id="rId12"/>
    <sheet name="工程建设其他费细则说明" sheetId="1" r:id="rId13"/>
    <sheet name="节能评估文件编制费" sheetId="16" state="hidden" r:id="rId14"/>
    <sheet name="社会稳定风险评估" sheetId="15" state="hidden" r:id="rId15"/>
    <sheet name="水土保持费" sheetId="14" state="hidden" r:id="rId16"/>
    <sheet name="交通影响评估" sheetId="17" state="hidden" r:id="rId17"/>
    <sheet name="环境影响评估" sheetId="5" state="hidden" r:id="rId18"/>
    <sheet name="前期工程咨询费" sheetId="4" state="hidden" r:id="rId19"/>
    <sheet name="施工图审查费" sheetId="10" state="hidden" r:id="rId20"/>
    <sheet name="招标代理费" sheetId="9" state="hidden" r:id="rId21"/>
    <sheet name="造价咨询" sheetId="8" state="hidden" r:id="rId22"/>
    <sheet name="监理费" sheetId="7" state="hidden" r:id="rId23"/>
    <sheet name="设计费" sheetId="6" state="hidden" r:id="rId24"/>
    <sheet name="建设单位管理费" sheetId="2" state="hidden" r:id="rId25"/>
    <sheet name="场地准备费" sheetId="3" state="hidden" r:id="rId26"/>
    <sheet name="安全预评价" sheetId="13" state="hidden" r:id="rId27"/>
  </sheets>
  <definedNames>
    <definedName name="在此区间">建设单位管理费!$L$5</definedName>
    <definedName name="在此区间内">建设单位管理费!$L$5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<sst xmlns="http://schemas.openxmlformats.org/spreadsheetml/2006/main" count="1326" uniqueCount="711">
  <si>
    <t>序号</t>
  </si>
  <si>
    <t>内容名称</t>
  </si>
  <si>
    <t>单位</t>
  </si>
  <si>
    <t>数量</t>
  </si>
  <si>
    <t>备注</t>
  </si>
  <si>
    <t>一</t>
  </si>
  <si>
    <t>方案技术指标</t>
  </si>
  <si>
    <t>成本</t>
  </si>
  <si>
    <t>工资</t>
  </si>
  <si>
    <t>管理人员</t>
  </si>
  <si>
    <t>职工</t>
  </si>
  <si>
    <t>每五年增长率</t>
  </si>
  <si>
    <t>人数</t>
  </si>
  <si>
    <t>月工资</t>
  </si>
  <si>
    <t>停车位225个</t>
  </si>
  <si>
    <t>停车位30个</t>
  </si>
  <si>
    <t>项</t>
  </si>
  <si>
    <t>二</t>
  </si>
  <si>
    <t>经济技术指标</t>
  </si>
  <si>
    <t>总投资</t>
  </si>
  <si>
    <t>万元</t>
  </si>
  <si>
    <t xml:space="preserve">项目总建筑面积为16260平方米，其中新建污水处理厂15468㎡，污水处理规模为1.5万m³/天，含粗格栅池2400㎡、提升池2400㎡、沉砂池2400㎡、兼氧 FMBR 池2000㎡、消毒回用池1600㎡、污泥池1200㎡、贮泥池1200㎡、污泥脱水机房1500㎡、管理用房768㎡；新建污水管网提升泵站792㎡，污水提升规模为0.2m³/秒；新建污水管网50㎞、检查井1250座。
</t>
  </si>
  <si>
    <t>工程费用</t>
  </si>
  <si>
    <t>1.1.1</t>
  </si>
  <si>
    <t>建筑安装工程费用</t>
  </si>
  <si>
    <t>1.1.2</t>
  </si>
  <si>
    <t>设备及工器具购置费</t>
  </si>
  <si>
    <t>工程建设其他费用</t>
  </si>
  <si>
    <t>基本预备费</t>
  </si>
  <si>
    <t>建设期利息</t>
  </si>
  <si>
    <t>资金筹措</t>
  </si>
  <si>
    <t>自筹资本金</t>
  </si>
  <si>
    <t>融资及政府债券</t>
  </si>
  <si>
    <t>年均营业收入</t>
  </si>
  <si>
    <t>年均税收</t>
  </si>
  <si>
    <t>运营期总收入</t>
  </si>
  <si>
    <t>运营期总成本</t>
  </si>
  <si>
    <t>项目总收益</t>
  </si>
  <si>
    <t>债券覆盖倍数</t>
  </si>
  <si>
    <t>-</t>
  </si>
  <si>
    <t>正常情况下</t>
  </si>
  <si>
    <r>
      <rPr>
        <sz val="14"/>
        <color rgb="FF000000"/>
        <rFont val="仿宋"/>
        <charset val="134"/>
      </rPr>
      <t>本项目总投资约为</t>
    </r>
    <r>
      <rPr>
        <sz val="14"/>
        <color rgb="FF000000"/>
        <rFont val="仿宋"/>
        <charset val="134"/>
      </rPr>
      <t>9000.00</t>
    </r>
    <r>
      <rPr>
        <sz val="14"/>
        <color rgb="FF000000"/>
        <rFont val="仿宋"/>
        <charset val="134"/>
      </rPr>
      <t>万元，其中：工程费用约为</t>
    </r>
    <r>
      <rPr>
        <sz val="14"/>
        <color rgb="FF000000"/>
        <rFont val="仿宋"/>
        <charset val="134"/>
      </rPr>
      <t>6317.35</t>
    </r>
    <r>
      <rPr>
        <sz val="14"/>
        <color rgb="FF000000"/>
        <rFont val="仿宋"/>
        <charset val="134"/>
      </rPr>
      <t>万元，工程建设其他费用约为</t>
    </r>
    <r>
      <rPr>
        <sz val="14"/>
        <color rgb="FF000000"/>
        <rFont val="仿宋"/>
        <charset val="134"/>
      </rPr>
      <t>1887.32</t>
    </r>
    <r>
      <rPr>
        <sz val="14"/>
        <color rgb="FF000000"/>
        <rFont val="仿宋"/>
        <charset val="134"/>
      </rPr>
      <t>万元，预备费约为</t>
    </r>
    <r>
      <rPr>
        <sz val="14"/>
        <color rgb="FF000000"/>
        <rFont val="仿宋"/>
        <charset val="134"/>
      </rPr>
      <t>645.33</t>
    </r>
    <r>
      <rPr>
        <sz val="14"/>
        <color rgb="FF000000"/>
        <rFont val="仿宋"/>
        <charset val="134"/>
      </rPr>
      <t>万元，建设期利息</t>
    </r>
    <r>
      <rPr>
        <sz val="14"/>
        <color rgb="FF000000"/>
        <rFont val="仿宋"/>
        <charset val="134"/>
      </rPr>
      <t>150.00</t>
    </r>
    <r>
      <rPr>
        <sz val="14"/>
        <color rgb="FF000000"/>
        <rFont val="仿宋"/>
        <charset val="134"/>
      </rPr>
      <t>万元。</t>
    </r>
  </si>
  <si>
    <t>本项目建设总投资估算9000.00万元。项目资金来源为：建设单位自筹资本金为4000.00万元，占总投资比例为44.44%，剩余5000万元拟申请地方政府专项债券，占总投资比例为55.56%。</t>
  </si>
  <si>
    <t>本项目为八里湖新区九龙村农村产业融合示范园建设项目,总用地面积约1302695㎡（约1954.03亩），总建筑面积为33600㎡。主要建设内容包括建设标准化农田69.7亩，建设标准化高效栽培试验示范26.7亩、育苗基地87.6亩；分拣仓库7500㎡，农产品加工厂房8000㎡，冷库仓储中心6500㎡，科研基地实验室3000㎡，实践教育综合基地3000㎡，农业技术推广中心4000㎡，种子繁育基地600㎡，配套用房1000㎡，停车场800㎡，及其他供配电、消防、给排水、通信等配套基础设施建设。</t>
  </si>
  <si>
    <r>
      <rPr>
        <sz val="14"/>
        <color rgb="FF000000"/>
        <rFont val="仿宋"/>
        <charset val="134"/>
      </rPr>
      <t>本项目建设期为</t>
    </r>
    <r>
      <rPr>
        <sz val="14"/>
        <color rgb="FF000000"/>
        <rFont val="仿宋"/>
        <charset val="134"/>
      </rPr>
      <t>12</t>
    </r>
    <r>
      <rPr>
        <sz val="14"/>
        <color rgb="FF000000"/>
        <rFont val="仿宋"/>
        <charset val="134"/>
      </rPr>
      <t>个月，运营期为</t>
    </r>
    <r>
      <rPr>
        <sz val="14"/>
        <color rgb="FF000000"/>
        <rFont val="仿宋"/>
        <charset val="134"/>
      </rPr>
      <t>29</t>
    </r>
    <r>
      <rPr>
        <sz val="14"/>
        <color rgb="FF000000"/>
        <rFont val="仿宋"/>
        <charset val="134"/>
      </rPr>
      <t>年，计算期内总收入</t>
    </r>
    <r>
      <rPr>
        <sz val="14"/>
        <color rgb="FF000000"/>
        <rFont val="仿宋"/>
        <charset val="134"/>
      </rPr>
      <t>20510.96</t>
    </r>
    <r>
      <rPr>
        <sz val="14"/>
        <color rgb="FF000000"/>
        <rFont val="仿宋"/>
        <charset val="134"/>
      </rPr>
      <t>万元，总成本</t>
    </r>
    <r>
      <rPr>
        <sz val="14"/>
        <color rgb="FF000000"/>
        <rFont val="仿宋"/>
        <charset val="134"/>
      </rPr>
      <t>8075.90</t>
    </r>
    <r>
      <rPr>
        <sz val="14"/>
        <color rgb="FF000000"/>
        <rFont val="仿宋"/>
        <charset val="134"/>
      </rPr>
      <t>万元，累计收益余额</t>
    </r>
    <r>
      <rPr>
        <sz val="14"/>
        <color rgb="FF000000"/>
        <rFont val="仿宋"/>
        <charset val="134"/>
      </rPr>
      <t>10384.01</t>
    </r>
    <r>
      <rPr>
        <sz val="14"/>
        <color rgb="FF000000"/>
        <rFont val="仿宋"/>
        <charset val="134"/>
      </rPr>
      <t>万元，项目债券期内，本息合计金额为</t>
    </r>
    <r>
      <rPr>
        <sz val="14"/>
        <color rgb="FF000000"/>
        <rFont val="仿宋"/>
        <charset val="134"/>
      </rPr>
      <t>9500.00</t>
    </r>
    <r>
      <rPr>
        <sz val="14"/>
        <color rgb="FF000000"/>
        <rFont val="仿宋"/>
        <charset val="134"/>
      </rPr>
      <t>万元，正常运营状态下，项目本息覆盖率为</t>
    </r>
    <r>
      <rPr>
        <sz val="14"/>
        <color rgb="FF000000"/>
        <rFont val="仿宋"/>
        <charset val="134"/>
      </rPr>
      <t>1.31</t>
    </r>
    <r>
      <rPr>
        <sz val="14"/>
        <color rgb="FF000000"/>
        <rFont val="仿宋"/>
        <charset val="134"/>
      </rPr>
      <t>。</t>
    </r>
  </si>
  <si>
    <t xml:space="preserve">       本项目为八里湖新区九龙村农村产业融合示范园建设项目,总用地面积约1302695㎡（约1954.03亩），总建筑面积为33600㎡。主要建设内容包括建设标准化农田69.7亩，建设标准化高效栽培试验示范26.7亩、育苗基地87.6亩；分拣仓库7500㎡，农产品加工厂房8000㎡，冷库仓储中心6500㎡，科研基地实验室3000㎡，实践教育综合基地3000㎡，农业技术推广中心4000㎡，种子繁育基地600㎡，配套用房1000㎡，停车场800㎡，及其他供配电、消防、给排水、通信等配套基础设施建设。</t>
  </si>
  <si>
    <t>本表所有此颜色单元格为基础数据，需自行嵌入。其余单元格均为联动，勿调整。</t>
  </si>
  <si>
    <t>农村污水处理及中水再利用建设项目</t>
  </si>
  <si>
    <t>江西省指标要求和假设参数设计</t>
  </si>
  <si>
    <t>江西省生活用水定额</t>
  </si>
  <si>
    <t>吉水县2021年末人口统计</t>
  </si>
  <si>
    <t>指标项</t>
  </si>
  <si>
    <t>江西省用地指标（2018）</t>
  </si>
  <si>
    <t>参数设定</t>
  </si>
  <si>
    <t>项目数据</t>
  </si>
  <si>
    <t>二级污水处理站用地</t>
  </si>
  <si>
    <t>参考城市污水处理厂建设用地指标</t>
  </si>
  <si>
    <t>公顷</t>
  </si>
  <si>
    <t xml:space="preserve">  1、为应对突发情况污水处理厂、污水管网泵站设计规模应比计算规模适当增大
  2、污水处理厂规模按项目数据中的污水处理量来测算，收入计算时按参数设定中的处理量来计算</t>
  </si>
  <si>
    <t>区域人口</t>
  </si>
  <si>
    <t>根据地区情况确定</t>
  </si>
  <si>
    <t>万人</t>
  </si>
  <si>
    <t>用水定额</t>
  </si>
  <si>
    <t>参考江西省生活用水定额</t>
  </si>
  <si>
    <t>L/（人*天）</t>
  </si>
  <si>
    <t>产污系数</t>
  </si>
  <si>
    <t>0.80-0.9</t>
  </si>
  <si>
    <t>污水收集系数</t>
  </si>
  <si>
    <t>0.7-0.95</t>
  </si>
  <si>
    <t>污水处理量</t>
  </si>
  <si>
    <r>
      <rPr>
        <sz val="11"/>
        <color theme="1"/>
        <rFont val="仿宋"/>
        <charset val="134"/>
      </rPr>
      <t>m</t>
    </r>
    <r>
      <rPr>
        <sz val="11"/>
        <color theme="1"/>
        <rFont val="等线"/>
        <charset val="134"/>
      </rPr>
      <t>³</t>
    </r>
    <r>
      <rPr>
        <sz val="11"/>
        <color theme="1"/>
        <rFont val="仿宋"/>
        <charset val="134"/>
      </rPr>
      <t>/天</t>
    </r>
  </si>
  <si>
    <t>容积率</t>
  </si>
  <si>
    <t>≥0.7</t>
  </si>
  <si>
    <t>污水管网泵站用地</t>
  </si>
  <si>
    <t>参考污水管网泵站建设用地指标</t>
  </si>
  <si>
    <t>㎡</t>
  </si>
  <si>
    <t>污水处理厂规模按项目数据中的污水处理量来测定，收入计算时按参数设定中的处理量来计算</t>
  </si>
  <si>
    <t>建设规模</t>
  </si>
  <si>
    <t>总建筑面积</t>
  </si>
  <si>
    <t>污水处理厂</t>
  </si>
  <si>
    <t>粗格栅池</t>
  </si>
  <si>
    <t>根据实际需要确定</t>
  </si>
  <si>
    <t>提升池</t>
  </si>
  <si>
    <t>沉砂池</t>
  </si>
  <si>
    <r>
      <rPr>
        <sz val="10.5"/>
        <color rgb="FF000000"/>
        <rFont val="仿宋"/>
        <charset val="134"/>
      </rPr>
      <t xml:space="preserve">兼氧 </t>
    </r>
    <r>
      <rPr>
        <sz val="10.5"/>
        <color rgb="FF000000"/>
        <rFont val="Times New Roman"/>
        <charset val="134"/>
      </rPr>
      <t xml:space="preserve">FMBR </t>
    </r>
    <r>
      <rPr>
        <sz val="10.5"/>
        <color rgb="FF000000"/>
        <rFont val="仿宋"/>
        <charset val="134"/>
      </rPr>
      <t>池</t>
    </r>
  </si>
  <si>
    <t>消毒回用池</t>
  </si>
  <si>
    <t>污泥池</t>
  </si>
  <si>
    <t>贮泥池</t>
  </si>
  <si>
    <t>污泥脱水机房</t>
  </si>
  <si>
    <t>管理用房</t>
  </si>
  <si>
    <t>建筑面积比例不超过总建筑面积的15%</t>
  </si>
  <si>
    <t>厂区室外工程</t>
  </si>
  <si>
    <t>不得低于用地面积的30%</t>
  </si>
  <si>
    <t>污水管网泵站</t>
  </si>
  <si>
    <t>污水管网</t>
  </si>
  <si>
    <t>㎞</t>
  </si>
  <si>
    <t>新建污水管道</t>
  </si>
  <si>
    <t>4.1.1</t>
  </si>
  <si>
    <t>HDPE缠绕结构壁管-DN300</t>
  </si>
  <si>
    <t>4.1.2</t>
  </si>
  <si>
    <t>HDPE缠绕结构壁管-DN400</t>
  </si>
  <si>
    <t>4.1.3</t>
  </si>
  <si>
    <t>HDPE缠绕结构壁管-DN500</t>
  </si>
  <si>
    <t>检查井</t>
  </si>
  <si>
    <r>
      <rPr>
        <b/>
        <sz val="9"/>
        <rFont val="仿宋"/>
        <charset val="134"/>
      </rPr>
      <t>检查井之间的距离不宜大于</t>
    </r>
    <r>
      <rPr>
        <sz val="10.5"/>
        <color rgb="FF333333"/>
        <rFont val="Arial"/>
        <charset val="134"/>
      </rPr>
      <t>50m</t>
    </r>
  </si>
  <si>
    <t>个</t>
  </si>
  <si>
    <t>吉水县农村生活污水治理专项规划</t>
  </si>
  <si>
    <t>工程或费用名称</t>
  </si>
  <si>
    <t>估算金额（万元）</t>
  </si>
  <si>
    <t>技术经济指标</t>
  </si>
  <si>
    <t>建筑工程费</t>
  </si>
  <si>
    <t>安装工程费</t>
  </si>
  <si>
    <t>设备购置费</t>
  </si>
  <si>
    <t>其他费用</t>
  </si>
  <si>
    <t>小计</t>
  </si>
  <si>
    <t>比例</t>
  </si>
  <si>
    <t>单价（元）</t>
  </si>
  <si>
    <t>（一）</t>
  </si>
  <si>
    <t>农村产业融合示范园</t>
  </si>
  <si>
    <t>分拣仓库</t>
  </si>
  <si>
    <t>平方米</t>
  </si>
  <si>
    <t>土建工程</t>
  </si>
  <si>
    <t>给排水工程</t>
  </si>
  <si>
    <t>电气工程</t>
  </si>
  <si>
    <t>消防工程</t>
  </si>
  <si>
    <t>暖通工程</t>
  </si>
  <si>
    <t>农产品加工厂房</t>
  </si>
  <si>
    <t>保鲜仓储中心</t>
  </si>
  <si>
    <t>实践教育综合基地</t>
  </si>
  <si>
    <t>农业技术推广中心</t>
  </si>
  <si>
    <t>创新创业孵化平台</t>
  </si>
  <si>
    <t>创新创业孵化平台地下停车场</t>
  </si>
  <si>
    <t>支护工程</t>
  </si>
  <si>
    <t>主体工程</t>
  </si>
  <si>
    <t>通风工程</t>
  </si>
  <si>
    <t>停车场</t>
  </si>
  <si>
    <t>场地铺装</t>
  </si>
  <si>
    <t>停车位40个</t>
  </si>
  <si>
    <t>标线工程</t>
  </si>
  <si>
    <t>闸机及停车管理系统</t>
  </si>
  <si>
    <t>标准化农田</t>
  </si>
  <si>
    <t>亩</t>
  </si>
  <si>
    <t>49237平方米</t>
  </si>
  <si>
    <t>土地平整</t>
  </si>
  <si>
    <t>挖壕打穴</t>
  </si>
  <si>
    <t xml:space="preserve"> 水肥一体</t>
  </si>
  <si>
    <t>标准化高效栽培试验示范田</t>
  </si>
  <si>
    <t>13631平方米</t>
  </si>
  <si>
    <t>单价</t>
  </si>
  <si>
    <t>育苗基地</t>
  </si>
  <si>
    <t>12972平方米</t>
  </si>
  <si>
    <t>（二）</t>
  </si>
  <si>
    <t>附属配套工程</t>
  </si>
  <si>
    <t>供配电系统</t>
  </si>
  <si>
    <t>室外给排水工程</t>
  </si>
  <si>
    <t>室外消防工程</t>
  </si>
  <si>
    <t>通信工程</t>
  </si>
  <si>
    <t>其他配套工程</t>
  </si>
  <si>
    <t>土地流转费</t>
  </si>
  <si>
    <t>按土地流转协议执行</t>
  </si>
  <si>
    <t>债券发行费</t>
  </si>
  <si>
    <t>三</t>
  </si>
  <si>
    <t>预备费</t>
  </si>
  <si>
    <t>不超过（一+二）*8%</t>
  </si>
  <si>
    <t>涨价预备费</t>
  </si>
  <si>
    <t>一+二+三部分合计</t>
  </si>
  <si>
    <t>四</t>
  </si>
  <si>
    <t xml:space="preserve">         </t>
  </si>
  <si>
    <t>五</t>
  </si>
  <si>
    <t>2600±400</t>
  </si>
  <si>
    <t>2000±300</t>
  </si>
  <si>
    <t>←可直接调整数字，前面文字为单元格格式，不影响计算</t>
  </si>
  <si>
    <t>费用输入（万元）</t>
  </si>
  <si>
    <r>
      <rPr>
        <b/>
        <sz val="11"/>
        <color theme="1"/>
        <rFont val="宋体"/>
        <charset val="134"/>
      </rPr>
      <t>输入</t>
    </r>
    <r>
      <rPr>
        <b/>
        <sz val="11"/>
        <color theme="1"/>
        <rFont val="Segoe UI Symbol"/>
        <charset val="134"/>
      </rPr>
      <t>👇</t>
    </r>
  </si>
  <si>
    <r>
      <rPr>
        <sz val="11"/>
        <color theme="1"/>
        <rFont val="宋体"/>
        <charset val="134"/>
      </rPr>
      <t>☜</t>
    </r>
    <r>
      <rPr>
        <sz val="11"/>
        <color theme="1"/>
        <rFont val="等线"/>
        <charset val="134"/>
        <scheme val="minor"/>
      </rPr>
      <t>手动输入</t>
    </r>
  </si>
  <si>
    <t>地区筛选</t>
  </si>
  <si>
    <t>红谷滩区</t>
  </si>
  <si>
    <t>单位：万元</t>
  </si>
  <si>
    <t>地区折扣目录</t>
  </si>
  <si>
    <t>费用名称</t>
  </si>
  <si>
    <t>估算金额</t>
  </si>
  <si>
    <t>地区折扣</t>
  </si>
  <si>
    <t>折后金额</t>
  </si>
  <si>
    <t>计费基础</t>
  </si>
  <si>
    <t>南昌市</t>
  </si>
  <si>
    <t>南昌县</t>
  </si>
  <si>
    <t>参考文件</t>
  </si>
  <si>
    <t>折扣率</t>
  </si>
  <si>
    <t>分包</t>
  </si>
  <si>
    <t>合计</t>
  </si>
  <si>
    <t>前期工作咨询费（可行性研究报告）</t>
  </si>
  <si>
    <t>计费额</t>
  </si>
  <si>
    <t>基价</t>
  </si>
  <si>
    <r>
      <rPr>
        <b/>
        <sz val="11"/>
        <color theme="1"/>
        <rFont val="等线"/>
        <charset val="134"/>
        <scheme val="minor"/>
      </rPr>
      <t>输入费用</t>
    </r>
    <r>
      <rPr>
        <b/>
        <sz val="11"/>
        <color theme="1"/>
        <rFont val="Segoe UI Symbol"/>
        <charset val="134"/>
      </rPr>
      <t>👇</t>
    </r>
  </si>
  <si>
    <t>直线内插法计取</t>
  </si>
  <si>
    <t>&gt;</t>
  </si>
  <si>
    <t>~</t>
  </si>
  <si>
    <t>招标代理服务费</t>
  </si>
  <si>
    <t>货物采购</t>
  </si>
  <si>
    <t>服务招标（勘察）</t>
  </si>
  <si>
    <t>服务招标（设计）</t>
  </si>
  <si>
    <t>服务招标（监理）</t>
  </si>
  <si>
    <t>工程招标</t>
  </si>
  <si>
    <t>&lt;</t>
  </si>
  <si>
    <t>总费用</t>
  </si>
  <si>
    <t>费用合计</t>
  </si>
  <si>
    <t>环境影响评估费</t>
  </si>
  <si>
    <t>直线内插法</t>
  </si>
  <si>
    <t>编制报告书
（含大纲）</t>
  </si>
  <si>
    <t>编制报告表</t>
  </si>
  <si>
    <t>投资额</t>
  </si>
  <si>
    <t>基费</t>
  </si>
  <si>
    <t>直线内插法计算</t>
  </si>
  <si>
    <t>风险敏感系数</t>
  </si>
  <si>
    <t>注：不考虑行业调整系数，敏感性系数按规划方案、环评、拆迁征地补偿方案等尚未公示，项目社会稳定风险尚不确定的项目考虑，系数为1.2，收费低于3万元的，按3万元收取；高于20万元的，按20万元收取。</t>
  </si>
  <si>
    <t>安全预评价</t>
  </si>
  <si>
    <t>总投资额
（万元）</t>
  </si>
  <si>
    <t>基础报价
（万元）</t>
  </si>
  <si>
    <t>交通影响评估费</t>
  </si>
  <si>
    <t>规模
（建筑总面积：万平方米）</t>
  </si>
  <si>
    <t>单价
（元/平方米）</t>
  </si>
  <si>
    <t>收费基数
（万元）</t>
  </si>
  <si>
    <r>
      <rPr>
        <b/>
        <sz val="11"/>
        <color theme="1"/>
        <rFont val="等线"/>
        <charset val="134"/>
        <scheme val="minor"/>
      </rPr>
      <t>输入建筑面积</t>
    </r>
    <r>
      <rPr>
        <b/>
        <sz val="11"/>
        <color theme="1"/>
        <rFont val="Segoe UI Symbol"/>
        <charset val="134"/>
      </rPr>
      <t>👇</t>
    </r>
  </si>
  <si>
    <t>差额累进法计算</t>
  </si>
  <si>
    <t>系数</t>
  </si>
  <si>
    <t>总计</t>
  </si>
  <si>
    <t>注：大型会议中心、体育运动中心、居住区、商业中心、学校、大型停车场（库）、区域路网等收费应取 1.5-1.8 系数。</t>
  </si>
  <si>
    <t>建设单位管理费</t>
  </si>
  <si>
    <t>收费基价表</t>
  </si>
  <si>
    <r>
      <rPr>
        <b/>
        <sz val="11"/>
        <color theme="1"/>
        <rFont val="等线"/>
        <charset val="134"/>
        <scheme val="minor"/>
      </rPr>
      <t>工程费用</t>
    </r>
    <r>
      <rPr>
        <b/>
        <sz val="11"/>
        <color theme="1"/>
        <rFont val="Segoe UI Symbol"/>
        <charset val="134"/>
      </rPr>
      <t>👇</t>
    </r>
  </si>
  <si>
    <t>差额定率累进法</t>
  </si>
  <si>
    <t>费率</t>
  </si>
  <si>
    <t>全额</t>
  </si>
  <si>
    <t>设计费</t>
  </si>
  <si>
    <t>收费额</t>
  </si>
  <si>
    <t>收费基价</t>
  </si>
  <si>
    <t>监理费</t>
  </si>
  <si>
    <t>造价咨询费</t>
  </si>
  <si>
    <t>施工图审查费</t>
  </si>
  <si>
    <t>计费区间</t>
  </si>
  <si>
    <t>注：工程费用低于5000万的，按5000万计算水土保持评价费。</t>
  </si>
  <si>
    <t>节能评估文件编制费</t>
  </si>
  <si>
    <t>收费区间</t>
  </si>
  <si>
    <t>注：投资额不足1亿元部分，按1亿元计取；编制费用最高20万元。</t>
  </si>
  <si>
    <t>工期起始</t>
  </si>
  <si>
    <t>月数汇总</t>
  </si>
  <si>
    <t>资金来源</t>
  </si>
  <si>
    <t>金额（万元）</t>
  </si>
  <si>
    <t>占比</t>
  </si>
  <si>
    <t>☜该色块为需手动输入</t>
  </si>
  <si>
    <t>工期结束</t>
  </si>
  <si>
    <t>资本金</t>
  </si>
  <si>
    <t>☜出现该色块的单元格为报错格</t>
  </si>
  <si>
    <t>建设年度</t>
  </si>
  <si>
    <t>建设年度起</t>
  </si>
  <si>
    <t>建设年度止</t>
  </si>
  <si>
    <t>发债金额</t>
  </si>
  <si>
    <t>第一年度</t>
  </si>
  <si>
    <t>第二年度</t>
  </si>
  <si>
    <t>第三年度</t>
  </si>
  <si>
    <t>表1-分年资金使用</t>
  </si>
  <si>
    <t>项目</t>
  </si>
  <si>
    <t>建设期</t>
  </si>
  <si>
    <t>检查列</t>
  </si>
  <si>
    <t>进度安排</t>
  </si>
  <si>
    <t>建设进度</t>
  </si>
  <si>
    <t>其他费投入进度</t>
  </si>
  <si>
    <t>专项债投入进度</t>
  </si>
  <si>
    <t>建设投资</t>
  </si>
  <si>
    <t>工程建设其他费</t>
  </si>
  <si>
    <t>项目资本金</t>
  </si>
  <si>
    <t>专项债券</t>
  </si>
  <si>
    <t>填表注释：公式请勿修改</t>
  </si>
  <si>
    <t>黄色单元格需要填写</t>
  </si>
  <si>
    <t>此为测算结果</t>
  </si>
  <si>
    <t>1、项目建设期运营期相关</t>
  </si>
  <si>
    <t>项目实际情况：</t>
  </si>
  <si>
    <t>①截止到填表日，本项目是否开工</t>
  </si>
  <si>
    <t>否</t>
  </si>
  <si>
    <t>②本项目建设期</t>
  </si>
  <si>
    <t>个月。</t>
  </si>
  <si>
    <t>③本项目建设期开工日期</t>
  </si>
  <si>
    <r>
      <rPr>
        <sz val="10"/>
        <color theme="1"/>
        <rFont val="宋体"/>
        <charset val="134"/>
      </rPr>
      <t>如：</t>
    </r>
    <r>
      <rPr>
        <sz val="10"/>
        <color theme="1"/>
        <rFont val="Times New Roman"/>
        <charset val="134"/>
      </rPr>
      <t>202X</t>
    </r>
    <r>
      <rPr>
        <sz val="10"/>
        <color theme="1"/>
        <rFont val="宋体"/>
        <charset val="134"/>
      </rPr>
      <t>年</t>
    </r>
    <r>
      <rPr>
        <sz val="10"/>
        <color theme="1"/>
        <rFont val="Times New Roman"/>
        <charset val="134"/>
      </rPr>
      <t>X</t>
    </r>
    <r>
      <rPr>
        <sz val="10"/>
        <color theme="1"/>
        <rFont val="宋体"/>
        <charset val="134"/>
      </rPr>
      <t>月</t>
    </r>
    <r>
      <rPr>
        <sz val="10"/>
        <color theme="1"/>
        <rFont val="Times New Roman"/>
        <charset val="134"/>
      </rPr>
      <t>1</t>
    </r>
    <r>
      <rPr>
        <sz val="10"/>
        <color theme="1"/>
        <rFont val="宋体"/>
        <charset val="134"/>
      </rPr>
      <t>日</t>
    </r>
  </si>
  <si>
    <t>④本项目建设期完工日期</t>
  </si>
  <si>
    <t>（④-③）/30-②</t>
  </si>
  <si>
    <r>
      <rPr>
        <sz val="10"/>
        <color theme="1"/>
        <rFont val="宋体"/>
        <charset val="134"/>
      </rPr>
      <t>注意与</t>
    </r>
    <r>
      <rPr>
        <sz val="10"/>
        <color theme="1"/>
        <rFont val="Times New Roman"/>
        <charset val="134"/>
      </rPr>
      <t>B5</t>
    </r>
    <r>
      <rPr>
        <sz val="10"/>
        <color theme="1"/>
        <rFont val="宋体"/>
        <charset val="134"/>
      </rPr>
      <t>单元格的勾稽关系</t>
    </r>
  </si>
  <si>
    <t>项目可研报告中数据情况：</t>
  </si>
  <si>
    <t>⑤本项目建设期</t>
  </si>
  <si>
    <r>
      <rPr>
        <sz val="10"/>
        <color theme="1"/>
        <rFont val="宋体"/>
        <charset val="134"/>
      </rPr>
      <t>⑤</t>
    </r>
    <r>
      <rPr>
        <sz val="10"/>
        <color theme="1"/>
        <rFont val="Times New Roman"/>
        <charset val="134"/>
      </rPr>
      <t>-</t>
    </r>
    <r>
      <rPr>
        <sz val="10"/>
        <color theme="1"/>
        <rFont val="宋体"/>
        <charset val="134"/>
      </rPr>
      <t>②</t>
    </r>
  </si>
  <si>
    <t>⑥本项目建设期开工日期</t>
  </si>
  <si>
    <t>⑥-③</t>
  </si>
  <si>
    <r>
      <rPr>
        <sz val="10"/>
        <color theme="1"/>
        <rFont val="宋体"/>
        <charset val="134"/>
      </rPr>
      <t>如与项目实际情况存在较大差异。</t>
    </r>
    <r>
      <rPr>
        <sz val="10"/>
        <color theme="1"/>
        <rFont val="Times New Roman"/>
        <charset val="134"/>
      </rPr>
      <t>1</t>
    </r>
    <r>
      <rPr>
        <sz val="10"/>
        <color theme="1"/>
        <rFont val="宋体"/>
        <charset val="134"/>
      </rPr>
      <t>、笔误等情况酌情修改可研；</t>
    </r>
    <r>
      <rPr>
        <sz val="10"/>
        <color theme="1"/>
        <rFont val="Times New Roman"/>
        <charset val="134"/>
      </rPr>
      <t>2</t>
    </r>
    <r>
      <rPr>
        <sz val="10"/>
        <color theme="1"/>
        <rFont val="宋体"/>
        <charset val="134"/>
      </rPr>
      <t>、编制错误或是以前年度编制可研造成，考虑是否影响可研数据的准确性（以前年度编制的可研，依据的参考数据都是以前年度的，是否与现在情况存在偏差，是否合理）；</t>
    </r>
  </si>
  <si>
    <t>⑦本项目建设期完工日期</t>
  </si>
  <si>
    <t>⑦-④</t>
  </si>
  <si>
    <t>⑧建设工程费用</t>
  </si>
  <si>
    <r>
      <rPr>
        <sz val="10"/>
        <color theme="1"/>
        <rFont val="宋体"/>
        <charset val="134"/>
      </rPr>
      <t>⑧-</t>
    </r>
    <r>
      <rPr>
        <sz val="10"/>
        <color theme="1"/>
        <rFont val="MS Gothic"/>
        <charset val="128"/>
      </rPr>
      <t>⑭</t>
    </r>
  </si>
  <si>
    <t>此处进行测算，存在差异，则需找具体原因</t>
  </si>
  <si>
    <t>⑨工程建设其他费用</t>
  </si>
  <si>
    <r>
      <rPr>
        <sz val="10"/>
        <color theme="1"/>
        <rFont val="宋体"/>
        <charset val="134"/>
      </rPr>
      <t>⑨-</t>
    </r>
    <r>
      <rPr>
        <sz val="10"/>
        <color theme="1"/>
        <rFont val="MS Gothic"/>
        <charset val="128"/>
      </rPr>
      <t>⑮</t>
    </r>
  </si>
  <si>
    <t>⑩预备费</t>
  </si>
  <si>
    <r>
      <rPr>
        <sz val="10"/>
        <color theme="1"/>
        <rFont val="宋体"/>
        <charset val="134"/>
      </rPr>
      <t>⑩-</t>
    </r>
    <r>
      <rPr>
        <sz val="10"/>
        <color theme="1"/>
        <rFont val="MS Gothic"/>
        <charset val="128"/>
      </rPr>
      <t>⑯</t>
    </r>
  </si>
  <si>
    <r>
      <rPr>
        <sz val="10"/>
        <color theme="1"/>
        <rFont val="MS Gothic"/>
        <charset val="128"/>
      </rPr>
      <t>⑪</t>
    </r>
    <r>
      <rPr>
        <sz val="10"/>
        <color theme="1"/>
        <rFont val="宋体"/>
        <charset val="134"/>
      </rPr>
      <t>建设期利息</t>
    </r>
  </si>
  <si>
    <t>⑪-⑰</t>
  </si>
  <si>
    <t>合计差异</t>
  </si>
  <si>
    <t>2、投资构成及分年度计划（万元）</t>
  </si>
  <si>
    <t>可研批复文号</t>
  </si>
  <si>
    <r>
      <rPr>
        <sz val="10"/>
        <color theme="1"/>
        <rFont val="MS Gothic"/>
        <charset val="128"/>
      </rPr>
      <t>⑫</t>
    </r>
    <r>
      <rPr>
        <sz val="10"/>
        <color theme="1"/>
        <rFont val="宋体"/>
        <charset val="134"/>
      </rPr>
      <t>可研批复金额</t>
    </r>
  </si>
  <si>
    <r>
      <rPr>
        <sz val="10"/>
        <color theme="1"/>
        <rFont val="MS Gothic"/>
        <charset val="128"/>
      </rPr>
      <t>⑫</t>
    </r>
    <r>
      <rPr>
        <sz val="10"/>
        <color theme="1"/>
        <rFont val="宋体"/>
        <charset val="134"/>
      </rPr>
      <t>-</t>
    </r>
    <r>
      <rPr>
        <sz val="10"/>
        <color theme="1"/>
        <rFont val="MS Gothic"/>
        <charset val="128"/>
      </rPr>
      <t>⑬</t>
    </r>
  </si>
  <si>
    <r>
      <rPr>
        <sz val="10"/>
        <color theme="1"/>
        <rFont val="MS Gothic"/>
        <charset val="128"/>
      </rPr>
      <t>⑬</t>
    </r>
    <r>
      <rPr>
        <sz val="10"/>
        <color theme="1"/>
        <rFont val="宋体"/>
        <charset val="134"/>
      </rPr>
      <t>可研总投资金额</t>
    </r>
  </si>
  <si>
    <r>
      <rPr>
        <sz val="10"/>
        <color theme="1"/>
        <rFont val="MS Gothic"/>
        <charset val="128"/>
      </rPr>
      <t>⑬</t>
    </r>
    <r>
      <rPr>
        <sz val="10"/>
        <color theme="1"/>
        <rFont val="宋体"/>
        <charset val="134"/>
      </rPr>
      <t>-（</t>
    </r>
    <r>
      <rPr>
        <sz val="10"/>
        <color theme="1"/>
        <rFont val="MS Gothic"/>
        <charset val="128"/>
      </rPr>
      <t>⑭</t>
    </r>
    <r>
      <rPr>
        <sz val="10"/>
        <color theme="1"/>
        <rFont val="宋体"/>
        <charset val="134"/>
      </rPr>
      <t>+</t>
    </r>
    <r>
      <rPr>
        <sz val="10"/>
        <color theme="1"/>
        <rFont val="MS Gothic"/>
        <charset val="128"/>
      </rPr>
      <t>⑮</t>
    </r>
    <r>
      <rPr>
        <sz val="10"/>
        <color theme="1"/>
        <rFont val="宋体"/>
        <charset val="134"/>
      </rPr>
      <t>+</t>
    </r>
    <r>
      <rPr>
        <sz val="10"/>
        <color theme="1"/>
        <rFont val="MS Gothic"/>
        <charset val="128"/>
      </rPr>
      <t>⑯</t>
    </r>
    <r>
      <rPr>
        <sz val="10"/>
        <color theme="1"/>
        <rFont val="宋体"/>
        <charset val="134"/>
      </rPr>
      <t>+</t>
    </r>
    <r>
      <rPr>
        <sz val="10"/>
        <color theme="1"/>
        <rFont val="MS Gothic"/>
        <charset val="128"/>
      </rPr>
      <t>⑰）</t>
    </r>
  </si>
  <si>
    <t>具体每年项目投资情况</t>
  </si>
  <si>
    <t>以前年度</t>
  </si>
  <si>
    <r>
      <rPr>
        <sz val="10"/>
        <color theme="1"/>
        <rFont val="Times New Roman"/>
        <charset val="134"/>
      </rPr>
      <t>2022</t>
    </r>
    <r>
      <rPr>
        <sz val="10"/>
        <color theme="1"/>
        <rFont val="宋体"/>
        <charset val="134"/>
      </rPr>
      <t>年</t>
    </r>
  </si>
  <si>
    <r>
      <rPr>
        <sz val="10"/>
        <color theme="1"/>
        <rFont val="Times New Roman"/>
        <charset val="134"/>
      </rPr>
      <t>2023</t>
    </r>
    <r>
      <rPr>
        <sz val="10"/>
        <color theme="1"/>
        <rFont val="宋体"/>
        <charset val="134"/>
      </rPr>
      <t>年</t>
    </r>
  </si>
  <si>
    <r>
      <rPr>
        <sz val="10"/>
        <color theme="1"/>
        <rFont val="Times New Roman"/>
        <charset val="134"/>
      </rPr>
      <t>2024</t>
    </r>
    <r>
      <rPr>
        <sz val="10"/>
        <color theme="1"/>
        <rFont val="宋体"/>
        <charset val="134"/>
      </rPr>
      <t>年</t>
    </r>
  </si>
  <si>
    <r>
      <rPr>
        <sz val="10"/>
        <color theme="1"/>
        <rFont val="Times New Roman"/>
        <charset val="134"/>
      </rPr>
      <t>2025</t>
    </r>
    <r>
      <rPr>
        <sz val="10"/>
        <color theme="1"/>
        <rFont val="宋体"/>
        <charset val="134"/>
      </rPr>
      <t>年</t>
    </r>
  </si>
  <si>
    <r>
      <rPr>
        <sz val="10"/>
        <color theme="1"/>
        <rFont val="Times New Roman"/>
        <charset val="134"/>
      </rPr>
      <t>2026</t>
    </r>
    <r>
      <rPr>
        <sz val="10"/>
        <color theme="1"/>
        <rFont val="宋体"/>
        <charset val="134"/>
      </rPr>
      <t>年</t>
    </r>
  </si>
  <si>
    <r>
      <rPr>
        <sz val="10"/>
        <color theme="1"/>
        <rFont val="Times New Roman"/>
        <charset val="134"/>
      </rPr>
      <t>2027</t>
    </r>
    <r>
      <rPr>
        <sz val="10"/>
        <color theme="1"/>
        <rFont val="宋体"/>
        <charset val="134"/>
      </rPr>
      <t>年</t>
    </r>
  </si>
  <si>
    <r>
      <rPr>
        <sz val="10"/>
        <color theme="1"/>
        <rFont val="MS Gothic"/>
        <charset val="128"/>
      </rPr>
      <t>⑭</t>
    </r>
    <r>
      <rPr>
        <sz val="10"/>
        <color theme="1"/>
        <rFont val="宋体"/>
        <charset val="134"/>
      </rPr>
      <t>建设工程费用</t>
    </r>
  </si>
  <si>
    <r>
      <rPr>
        <sz val="10"/>
        <color theme="1"/>
        <rFont val="MS Gothic"/>
        <charset val="128"/>
      </rPr>
      <t>⑮</t>
    </r>
    <r>
      <rPr>
        <sz val="10"/>
        <color theme="1"/>
        <rFont val="宋体"/>
        <charset val="134"/>
      </rPr>
      <t>工程建设其他费用</t>
    </r>
  </si>
  <si>
    <r>
      <rPr>
        <sz val="10"/>
        <color theme="1"/>
        <rFont val="MS Gothic"/>
        <charset val="128"/>
      </rPr>
      <t>⑯</t>
    </r>
    <r>
      <rPr>
        <sz val="10"/>
        <color theme="1"/>
        <rFont val="宋体"/>
        <charset val="134"/>
      </rPr>
      <t>预备费</t>
    </r>
  </si>
  <si>
    <r>
      <rPr>
        <sz val="10"/>
        <color theme="1"/>
        <rFont val="MS Gothic"/>
        <charset val="128"/>
      </rPr>
      <t>⑰</t>
    </r>
    <r>
      <rPr>
        <sz val="10"/>
        <color theme="1"/>
        <rFont val="宋体"/>
        <charset val="134"/>
      </rPr>
      <t>建设期利息</t>
    </r>
  </si>
  <si>
    <t>此处数据请与建设期所填数据核对，是否勾稽，不要存在无建设期，但存在项目投资的情况</t>
  </si>
  <si>
    <t>注：若项目已开工，以前年度的支出按实际支出金额填写；若项目截止目前还未开工，按未来计划支出金额分年度填写</t>
  </si>
  <si>
    <t>3、项目建设期运营期相关（万元）</t>
  </si>
  <si>
    <r>
      <rPr>
        <sz val="10"/>
        <color theme="1"/>
        <rFont val="宋体"/>
        <charset val="134"/>
      </rPr>
      <t>（</t>
    </r>
    <r>
      <rPr>
        <sz val="10"/>
        <color theme="1"/>
        <rFont val="MS Gothic"/>
        <charset val="128"/>
      </rPr>
      <t>⑭</t>
    </r>
    <r>
      <rPr>
        <sz val="10"/>
        <color theme="1"/>
        <rFont val="宋体"/>
        <charset val="134"/>
      </rPr>
      <t>+</t>
    </r>
    <r>
      <rPr>
        <sz val="10"/>
        <color theme="1"/>
        <rFont val="MS Gothic"/>
        <charset val="128"/>
      </rPr>
      <t>⑮</t>
    </r>
    <r>
      <rPr>
        <sz val="10"/>
        <color theme="1"/>
        <rFont val="宋体"/>
        <charset val="134"/>
      </rPr>
      <t>+</t>
    </r>
    <r>
      <rPr>
        <sz val="10"/>
        <color theme="1"/>
        <rFont val="MS Gothic"/>
        <charset val="128"/>
      </rPr>
      <t>⑯</t>
    </r>
    <r>
      <rPr>
        <sz val="10"/>
        <color theme="1"/>
        <rFont val="宋体"/>
        <charset val="134"/>
      </rPr>
      <t>+</t>
    </r>
    <r>
      <rPr>
        <sz val="10"/>
        <color theme="1"/>
        <rFont val="MS Gothic"/>
        <charset val="128"/>
      </rPr>
      <t>⑰</t>
    </r>
    <r>
      <rPr>
        <sz val="10"/>
        <color theme="1"/>
        <rFont val="宋体"/>
        <charset val="134"/>
      </rPr>
      <t>）-（</t>
    </r>
    <r>
      <rPr>
        <sz val="10"/>
        <color theme="1"/>
        <rFont val="MS Gothic"/>
        <charset val="128"/>
      </rPr>
      <t>⑱</t>
    </r>
    <r>
      <rPr>
        <sz val="10"/>
        <color theme="1"/>
        <rFont val="宋体"/>
        <charset val="134"/>
      </rPr>
      <t>+</t>
    </r>
    <r>
      <rPr>
        <sz val="10"/>
        <color theme="1"/>
        <rFont val="MS Gothic"/>
        <charset val="128"/>
      </rPr>
      <t>⑲</t>
    </r>
    <r>
      <rPr>
        <sz val="10"/>
        <color theme="1"/>
        <rFont val="宋体"/>
        <charset val="134"/>
      </rPr>
      <t>+</t>
    </r>
    <r>
      <rPr>
        <sz val="10"/>
        <color theme="1"/>
        <rFont val="MS Gothic"/>
        <charset val="128"/>
      </rPr>
      <t>⑳）</t>
    </r>
  </si>
  <si>
    <r>
      <rPr>
        <sz val="10"/>
        <color theme="1"/>
        <rFont val="MS PMincho"/>
        <charset val="128"/>
      </rPr>
      <t>⑱</t>
    </r>
    <r>
      <rPr>
        <sz val="10"/>
        <color theme="1"/>
        <rFont val="Times New Roman"/>
        <charset val="134"/>
      </rPr>
      <t>/</t>
    </r>
    <r>
      <rPr>
        <sz val="10"/>
        <color theme="1"/>
        <rFont val="宋体"/>
        <charset val="134"/>
      </rPr>
      <t>（</t>
    </r>
    <r>
      <rPr>
        <sz val="10"/>
        <color theme="1"/>
        <rFont val="MS PMincho"/>
        <charset val="128"/>
      </rPr>
      <t>⑱</t>
    </r>
    <r>
      <rPr>
        <sz val="10"/>
        <color theme="1"/>
        <rFont val="Times New Roman"/>
        <charset val="134"/>
      </rPr>
      <t>+</t>
    </r>
    <r>
      <rPr>
        <sz val="10"/>
        <color theme="1"/>
        <rFont val="MS PMincho"/>
        <charset val="128"/>
      </rPr>
      <t>⑲</t>
    </r>
    <r>
      <rPr>
        <sz val="10"/>
        <color theme="1"/>
        <rFont val="Times New Roman"/>
        <charset val="134"/>
      </rPr>
      <t>+</t>
    </r>
    <r>
      <rPr>
        <sz val="10"/>
        <color theme="1"/>
        <rFont val="MS PMincho"/>
        <charset val="128"/>
      </rPr>
      <t>⑳</t>
    </r>
    <r>
      <rPr>
        <sz val="10"/>
        <color theme="1"/>
        <rFont val="宋体"/>
        <charset val="134"/>
      </rPr>
      <t>）</t>
    </r>
  </si>
  <si>
    <r>
      <rPr>
        <sz val="10"/>
        <color theme="1"/>
        <rFont val="宋体"/>
        <charset val="134"/>
      </rPr>
      <t>此处不能小于</t>
    </r>
    <r>
      <rPr>
        <sz val="10"/>
        <color theme="1"/>
        <rFont val="Times New Roman"/>
        <charset val="134"/>
      </rPr>
      <t>20%</t>
    </r>
    <r>
      <rPr>
        <sz val="10"/>
        <color theme="1"/>
        <rFont val="宋体"/>
        <charset val="134"/>
      </rPr>
      <t>，资本金必须大于等于占比</t>
    </r>
    <r>
      <rPr>
        <sz val="10"/>
        <color theme="1"/>
        <rFont val="Times New Roman"/>
        <charset val="134"/>
      </rPr>
      <t>20%</t>
    </r>
  </si>
  <si>
    <t>项目筹资情况</t>
  </si>
  <si>
    <r>
      <rPr>
        <sz val="10"/>
        <color theme="1"/>
        <rFont val="MS Gothic"/>
        <charset val="128"/>
      </rPr>
      <t>⑱</t>
    </r>
    <r>
      <rPr>
        <sz val="10"/>
        <color theme="1"/>
        <rFont val="宋体"/>
        <charset val="134"/>
      </rPr>
      <t>资本金</t>
    </r>
  </si>
  <si>
    <r>
      <rPr>
        <sz val="10"/>
        <color theme="1"/>
        <rFont val="MS Gothic"/>
        <charset val="128"/>
      </rPr>
      <t>⑲</t>
    </r>
    <r>
      <rPr>
        <sz val="10"/>
        <color theme="1"/>
        <rFont val="宋体"/>
        <charset val="134"/>
      </rPr>
      <t>其他融资</t>
    </r>
  </si>
  <si>
    <t>如果该列填数，则前面的资料，一定要囊括这部分的资料</t>
  </si>
  <si>
    <r>
      <rPr>
        <sz val="10"/>
        <color theme="1"/>
        <rFont val="MS Gothic"/>
        <charset val="128"/>
      </rPr>
      <t>⑳</t>
    </r>
    <r>
      <rPr>
        <sz val="10"/>
        <color theme="1"/>
        <rFont val="宋体"/>
        <charset val="134"/>
      </rPr>
      <t>债券发行</t>
    </r>
  </si>
  <si>
    <t>注：此列允许存在差异：如果是负数，则填列无误；如果是正数，则需修改发行债券分年计划，因此当年发债金额不允许大于当年投资金额</t>
  </si>
  <si>
    <t>金额单位：人民币万元</t>
  </si>
  <si>
    <t>年度</t>
  </si>
  <si>
    <t>期初本金余额</t>
  </si>
  <si>
    <t>本年发放</t>
  </si>
  <si>
    <t>本期偿还本金</t>
  </si>
  <si>
    <t>期末本金余额</t>
  </si>
  <si>
    <t>融资利率</t>
  </si>
  <si>
    <t>应付利息</t>
  </si>
  <si>
    <t>本息合计</t>
  </si>
  <si>
    <t>周期</t>
  </si>
  <si>
    <t>种植基地出租收入</t>
  </si>
  <si>
    <t>停车位收入</t>
  </si>
  <si>
    <t>充电桩收入</t>
  </si>
  <si>
    <t>物业收入</t>
  </si>
  <si>
    <t>厂房出租收入</t>
  </si>
  <si>
    <t>经营收
入合计</t>
  </si>
  <si>
    <t>修理费占比折旧（自行键入）</t>
  </si>
  <si>
    <t>负荷率</t>
  </si>
  <si>
    <t>出租价格（元/年·亩）</t>
  </si>
  <si>
    <t>数量（亩）</t>
  </si>
  <si>
    <t>年运营收入（万元）</t>
  </si>
  <si>
    <t>单价（元/kwh)</t>
  </si>
  <si>
    <t>收费数量（个）</t>
  </si>
  <si>
    <t>充电桩功率（kw）</t>
  </si>
  <si>
    <t>日充电时长</t>
  </si>
  <si>
    <t>单价
（元/月）</t>
  </si>
  <si>
    <t>出租面积</t>
  </si>
  <si>
    <t>外购原材料费</t>
  </si>
  <si>
    <t>外购燃料动力</t>
  </si>
  <si>
    <t>工资福利费用</t>
  </si>
  <si>
    <t>年维修成本</t>
  </si>
  <si>
    <t>污泥处理费</t>
  </si>
  <si>
    <t>税费</t>
  </si>
  <si>
    <t>经营成本合计</t>
  </si>
  <si>
    <t>地下停车场收入</t>
  </si>
  <si>
    <t>运营期</t>
  </si>
  <si>
    <t>参考同类型项目</t>
  </si>
  <si>
    <t>原材料</t>
  </si>
  <si>
    <t>消耗量（吨）</t>
  </si>
  <si>
    <t>单价/吨</t>
  </si>
  <si>
    <t>总价（万元）</t>
  </si>
  <si>
    <t>污水处理量（吨）</t>
  </si>
  <si>
    <t>每万吨污水
淤泥产生量（吨）</t>
  </si>
  <si>
    <t>年淤泥量（吨）</t>
  </si>
  <si>
    <t>处理单价（元/吨）</t>
  </si>
  <si>
    <t>淤泥处理费</t>
  </si>
  <si>
    <r>
      <rPr>
        <sz val="14.05"/>
        <color rgb="FF000000"/>
        <rFont val="仿宋"/>
        <charset val="134"/>
      </rPr>
      <t xml:space="preserve">药剂 </t>
    </r>
    <r>
      <rPr>
        <sz val="14.05"/>
        <color rgb="FF000000"/>
        <rFont val="Times New Roman"/>
        <charset val="134"/>
      </rPr>
      <t>PAC</t>
    </r>
  </si>
  <si>
    <r>
      <rPr>
        <sz val="14.05"/>
        <color rgb="FF000000"/>
        <rFont val="仿宋"/>
        <charset val="134"/>
      </rPr>
      <t xml:space="preserve">药剂 </t>
    </r>
    <r>
      <rPr>
        <sz val="14.05"/>
        <color rgb="FF000000"/>
        <rFont val="Times New Roman"/>
        <charset val="134"/>
      </rPr>
      <t>PAM</t>
    </r>
  </si>
  <si>
    <t>NaCl</t>
  </si>
  <si>
    <t>乙酸钠</t>
  </si>
  <si>
    <t>吉水县移民安置区排水防涝蓄水功能建设项目</t>
  </si>
  <si>
    <t>借贷本息支付</t>
  </si>
  <si>
    <t>经营收入</t>
  </si>
  <si>
    <t>总费用成本</t>
  </si>
  <si>
    <t>收益余额</t>
  </si>
  <si>
    <t>本金</t>
  </si>
  <si>
    <t>利息</t>
  </si>
  <si>
    <t>下降10%</t>
  </si>
  <si>
    <t>上升10%</t>
  </si>
  <si>
    <t>收入下降10%</t>
  </si>
  <si>
    <t>成本上升10%</t>
  </si>
  <si>
    <t>收入下降10%且成本上升10%</t>
  </si>
  <si>
    <t>本息覆盖率</t>
  </si>
  <si>
    <t>☝输入发债额试算</t>
  </si>
  <si>
    <t>年份</t>
  </si>
  <si>
    <t>增值税</t>
  </si>
  <si>
    <t>城市建设
维护税</t>
  </si>
  <si>
    <t>教育费
附加</t>
  </si>
  <si>
    <t>房产税</t>
  </si>
  <si>
    <t>税费合计</t>
  </si>
  <si>
    <t>工程施工进项税计算表</t>
  </si>
  <si>
    <t>销项税</t>
  </si>
  <si>
    <t>进项税</t>
  </si>
  <si>
    <t>进销项
抵扣后
合计</t>
  </si>
  <si>
    <t>含税金额</t>
  </si>
  <si>
    <t>税率</t>
  </si>
  <si>
    <t>不含税金额（用于折旧）</t>
  </si>
  <si>
    <t>销项税
合计</t>
  </si>
  <si>
    <t>维修</t>
  </si>
  <si>
    <t>进项税
合计</t>
  </si>
  <si>
    <t>工程施工留抵进项余额</t>
  </si>
  <si>
    <t>建筑安装工程费</t>
  </si>
  <si>
    <r>
      <rPr>
        <sz val="16"/>
        <rFont val="宋体"/>
        <charset val="134"/>
      </rPr>
      <t>项目资金流入流出平衡</t>
    </r>
  </si>
  <si>
    <r>
      <rPr>
        <sz val="10"/>
        <rFont val="宋体"/>
        <charset val="134"/>
      </rPr>
      <t>单位：万元</t>
    </r>
  </si>
  <si>
    <r>
      <rPr>
        <sz val="10"/>
        <rFont val="宋体"/>
        <charset val="134"/>
      </rPr>
      <t>第</t>
    </r>
    <r>
      <rPr>
        <sz val="10"/>
        <rFont val="Arial Narrow"/>
        <charset val="134"/>
      </rPr>
      <t>1</t>
    </r>
    <r>
      <rPr>
        <sz val="10"/>
        <rFont val="宋体"/>
        <charset val="134"/>
      </rPr>
      <t>年</t>
    </r>
  </si>
  <si>
    <r>
      <rPr>
        <sz val="10"/>
        <rFont val="宋体"/>
        <charset val="134"/>
      </rPr>
      <t>第</t>
    </r>
    <r>
      <rPr>
        <sz val="10"/>
        <rFont val="Arial Narrow"/>
        <charset val="134"/>
      </rPr>
      <t>2</t>
    </r>
    <r>
      <rPr>
        <sz val="10"/>
        <rFont val="宋体"/>
        <charset val="134"/>
      </rPr>
      <t>年</t>
    </r>
  </si>
  <si>
    <r>
      <rPr>
        <sz val="10"/>
        <rFont val="宋体"/>
        <charset val="134"/>
      </rPr>
      <t>第</t>
    </r>
    <r>
      <rPr>
        <sz val="10"/>
        <rFont val="Arial Narrow"/>
        <charset val="134"/>
      </rPr>
      <t>3</t>
    </r>
    <r>
      <rPr>
        <sz val="10"/>
        <rFont val="宋体"/>
        <charset val="134"/>
      </rPr>
      <t>年</t>
    </r>
  </si>
  <si>
    <r>
      <rPr>
        <sz val="10"/>
        <rFont val="宋体"/>
        <charset val="134"/>
      </rPr>
      <t>第</t>
    </r>
    <r>
      <rPr>
        <sz val="10"/>
        <rFont val="Arial Narrow"/>
        <charset val="134"/>
      </rPr>
      <t>4</t>
    </r>
    <r>
      <rPr>
        <sz val="10"/>
        <rFont val="宋体"/>
        <charset val="134"/>
      </rPr>
      <t>年</t>
    </r>
  </si>
  <si>
    <r>
      <rPr>
        <sz val="10"/>
        <rFont val="宋体"/>
        <charset val="134"/>
      </rPr>
      <t>第</t>
    </r>
    <r>
      <rPr>
        <sz val="10"/>
        <rFont val="Arial Narrow"/>
        <charset val="134"/>
      </rPr>
      <t>5</t>
    </r>
    <r>
      <rPr>
        <sz val="10"/>
        <rFont val="宋体"/>
        <charset val="134"/>
      </rPr>
      <t>年</t>
    </r>
  </si>
  <si>
    <r>
      <rPr>
        <sz val="10"/>
        <rFont val="宋体"/>
        <charset val="134"/>
      </rPr>
      <t>第</t>
    </r>
    <r>
      <rPr>
        <sz val="10"/>
        <rFont val="Arial Narrow"/>
        <charset val="134"/>
      </rPr>
      <t>6</t>
    </r>
    <r>
      <rPr>
        <sz val="10"/>
        <rFont val="宋体"/>
        <charset val="134"/>
      </rPr>
      <t>年</t>
    </r>
  </si>
  <si>
    <r>
      <rPr>
        <sz val="10"/>
        <rFont val="宋体"/>
        <charset val="134"/>
      </rPr>
      <t>第</t>
    </r>
    <r>
      <rPr>
        <sz val="10"/>
        <rFont val="Arial Narrow"/>
        <charset val="134"/>
      </rPr>
      <t>7</t>
    </r>
    <r>
      <rPr>
        <sz val="10"/>
        <rFont val="宋体"/>
        <charset val="134"/>
      </rPr>
      <t>年</t>
    </r>
  </si>
  <si>
    <r>
      <rPr>
        <sz val="10"/>
        <rFont val="宋体"/>
        <charset val="134"/>
      </rPr>
      <t>第</t>
    </r>
    <r>
      <rPr>
        <sz val="10"/>
        <rFont val="Arial Narrow"/>
        <charset val="134"/>
      </rPr>
      <t>8</t>
    </r>
    <r>
      <rPr>
        <sz val="10"/>
        <rFont val="宋体"/>
        <charset val="134"/>
      </rPr>
      <t>年</t>
    </r>
  </si>
  <si>
    <r>
      <rPr>
        <sz val="10"/>
        <rFont val="宋体"/>
        <charset val="134"/>
      </rPr>
      <t>第</t>
    </r>
    <r>
      <rPr>
        <sz val="10"/>
        <rFont val="Arial Narrow"/>
        <charset val="134"/>
      </rPr>
      <t>9</t>
    </r>
    <r>
      <rPr>
        <sz val="10"/>
        <rFont val="宋体"/>
        <charset val="134"/>
      </rPr>
      <t>年</t>
    </r>
  </si>
  <si>
    <r>
      <rPr>
        <sz val="10"/>
        <rFont val="宋体"/>
        <charset val="134"/>
      </rPr>
      <t>第</t>
    </r>
    <r>
      <rPr>
        <sz val="10"/>
        <rFont val="Arial Narrow"/>
        <charset val="134"/>
      </rPr>
      <t>10</t>
    </r>
    <r>
      <rPr>
        <sz val="10"/>
        <rFont val="宋体"/>
        <charset val="134"/>
      </rPr>
      <t>年</t>
    </r>
  </si>
  <si>
    <r>
      <rPr>
        <sz val="10"/>
        <rFont val="宋体"/>
        <charset val="134"/>
      </rPr>
      <t>第</t>
    </r>
    <r>
      <rPr>
        <sz val="10"/>
        <rFont val="Arial Narrow"/>
        <charset val="134"/>
      </rPr>
      <t>11</t>
    </r>
    <r>
      <rPr>
        <sz val="10"/>
        <rFont val="宋体"/>
        <charset val="134"/>
      </rPr>
      <t>年</t>
    </r>
  </si>
  <si>
    <r>
      <rPr>
        <sz val="10"/>
        <rFont val="宋体"/>
        <charset val="134"/>
      </rPr>
      <t>第</t>
    </r>
    <r>
      <rPr>
        <sz val="10"/>
        <rFont val="Arial Narrow"/>
        <charset val="134"/>
      </rPr>
      <t>12</t>
    </r>
    <r>
      <rPr>
        <sz val="10"/>
        <rFont val="宋体"/>
        <charset val="134"/>
      </rPr>
      <t>年</t>
    </r>
  </si>
  <si>
    <r>
      <rPr>
        <sz val="10"/>
        <rFont val="宋体"/>
        <charset val="134"/>
      </rPr>
      <t>第</t>
    </r>
    <r>
      <rPr>
        <sz val="10"/>
        <rFont val="Arial Narrow"/>
        <charset val="134"/>
      </rPr>
      <t>13</t>
    </r>
    <r>
      <rPr>
        <sz val="10"/>
        <rFont val="宋体"/>
        <charset val="134"/>
      </rPr>
      <t>年</t>
    </r>
  </si>
  <si>
    <r>
      <rPr>
        <sz val="10"/>
        <rFont val="宋体"/>
        <charset val="134"/>
      </rPr>
      <t>第</t>
    </r>
    <r>
      <rPr>
        <sz val="10"/>
        <rFont val="Arial Narrow"/>
        <charset val="134"/>
      </rPr>
      <t>14</t>
    </r>
    <r>
      <rPr>
        <sz val="10"/>
        <rFont val="宋体"/>
        <charset val="134"/>
      </rPr>
      <t>年</t>
    </r>
  </si>
  <si>
    <r>
      <rPr>
        <sz val="10"/>
        <rFont val="宋体"/>
        <charset val="134"/>
      </rPr>
      <t>第</t>
    </r>
    <r>
      <rPr>
        <sz val="10"/>
        <rFont val="Arial Narrow"/>
        <charset val="134"/>
      </rPr>
      <t>15</t>
    </r>
    <r>
      <rPr>
        <sz val="10"/>
        <rFont val="宋体"/>
        <charset val="134"/>
      </rPr>
      <t>年</t>
    </r>
  </si>
  <si>
    <r>
      <rPr>
        <sz val="10"/>
        <rFont val="宋体"/>
        <charset val="134"/>
      </rPr>
      <t>第</t>
    </r>
    <r>
      <rPr>
        <sz val="10"/>
        <rFont val="Arial Narrow"/>
        <charset val="134"/>
      </rPr>
      <t>16</t>
    </r>
    <r>
      <rPr>
        <sz val="10"/>
        <rFont val="宋体"/>
        <charset val="134"/>
      </rPr>
      <t>年</t>
    </r>
  </si>
  <si>
    <r>
      <rPr>
        <sz val="10"/>
        <rFont val="宋体"/>
        <charset val="134"/>
      </rPr>
      <t>第</t>
    </r>
    <r>
      <rPr>
        <sz val="10"/>
        <rFont val="Arial Narrow"/>
        <charset val="134"/>
      </rPr>
      <t>17</t>
    </r>
    <r>
      <rPr>
        <sz val="10"/>
        <rFont val="宋体"/>
        <charset val="134"/>
      </rPr>
      <t>年</t>
    </r>
  </si>
  <si>
    <r>
      <rPr>
        <sz val="10"/>
        <rFont val="宋体"/>
        <charset val="134"/>
      </rPr>
      <t>第</t>
    </r>
    <r>
      <rPr>
        <sz val="10"/>
        <rFont val="Arial Narrow"/>
        <charset val="134"/>
      </rPr>
      <t>18</t>
    </r>
    <r>
      <rPr>
        <sz val="10"/>
        <rFont val="宋体"/>
        <charset val="134"/>
      </rPr>
      <t>年</t>
    </r>
  </si>
  <si>
    <r>
      <rPr>
        <sz val="10"/>
        <rFont val="宋体"/>
        <charset val="134"/>
      </rPr>
      <t>第</t>
    </r>
    <r>
      <rPr>
        <sz val="10"/>
        <rFont val="Arial Narrow"/>
        <charset val="134"/>
      </rPr>
      <t>19</t>
    </r>
    <r>
      <rPr>
        <sz val="10"/>
        <rFont val="宋体"/>
        <charset val="134"/>
      </rPr>
      <t>年</t>
    </r>
  </si>
  <si>
    <r>
      <rPr>
        <sz val="10"/>
        <rFont val="宋体"/>
        <charset val="134"/>
      </rPr>
      <t>第</t>
    </r>
    <r>
      <rPr>
        <sz val="10"/>
        <rFont val="Arial Narrow"/>
        <charset val="134"/>
      </rPr>
      <t>20</t>
    </r>
    <r>
      <rPr>
        <sz val="10"/>
        <rFont val="宋体"/>
        <charset val="134"/>
      </rPr>
      <t>年</t>
    </r>
  </si>
  <si>
    <r>
      <rPr>
        <sz val="10"/>
        <rFont val="宋体"/>
        <charset val="134"/>
      </rPr>
      <t>第</t>
    </r>
    <r>
      <rPr>
        <sz val="10"/>
        <rFont val="Arial Narrow"/>
        <charset val="134"/>
      </rPr>
      <t>21</t>
    </r>
    <r>
      <rPr>
        <sz val="10"/>
        <rFont val="宋体"/>
        <charset val="134"/>
      </rPr>
      <t>年</t>
    </r>
  </si>
  <si>
    <r>
      <rPr>
        <sz val="10"/>
        <rFont val="宋体"/>
        <charset val="134"/>
      </rPr>
      <t>第</t>
    </r>
    <r>
      <rPr>
        <sz val="10"/>
        <rFont val="Arial Narrow"/>
        <charset val="134"/>
      </rPr>
      <t>22</t>
    </r>
    <r>
      <rPr>
        <sz val="10"/>
        <rFont val="宋体"/>
        <charset val="134"/>
      </rPr>
      <t>年</t>
    </r>
  </si>
  <si>
    <r>
      <rPr>
        <sz val="10"/>
        <rFont val="宋体"/>
        <charset val="134"/>
      </rPr>
      <t>第</t>
    </r>
    <r>
      <rPr>
        <sz val="10"/>
        <rFont val="Arial Narrow"/>
        <charset val="134"/>
      </rPr>
      <t>23</t>
    </r>
    <r>
      <rPr>
        <sz val="10"/>
        <rFont val="宋体"/>
        <charset val="134"/>
      </rPr>
      <t>年</t>
    </r>
  </si>
  <si>
    <r>
      <rPr>
        <sz val="10"/>
        <rFont val="宋体"/>
        <charset val="134"/>
      </rPr>
      <t>第</t>
    </r>
    <r>
      <rPr>
        <sz val="10"/>
        <rFont val="Arial Narrow"/>
        <charset val="134"/>
      </rPr>
      <t>24</t>
    </r>
    <r>
      <rPr>
        <sz val="10"/>
        <rFont val="宋体"/>
        <charset val="134"/>
      </rPr>
      <t>年</t>
    </r>
  </si>
  <si>
    <r>
      <rPr>
        <sz val="10"/>
        <rFont val="宋体"/>
        <charset val="134"/>
      </rPr>
      <t>第</t>
    </r>
    <r>
      <rPr>
        <sz val="10"/>
        <rFont val="Arial Narrow"/>
        <charset val="134"/>
      </rPr>
      <t>25</t>
    </r>
    <r>
      <rPr>
        <sz val="10"/>
        <rFont val="宋体"/>
        <charset val="134"/>
      </rPr>
      <t>年</t>
    </r>
  </si>
  <si>
    <r>
      <rPr>
        <sz val="10"/>
        <rFont val="宋体"/>
        <charset val="134"/>
      </rPr>
      <t>第</t>
    </r>
    <r>
      <rPr>
        <sz val="10"/>
        <rFont val="Arial Narrow"/>
        <charset val="134"/>
      </rPr>
      <t>26</t>
    </r>
    <r>
      <rPr>
        <sz val="10"/>
        <rFont val="宋体"/>
        <charset val="134"/>
      </rPr>
      <t>年</t>
    </r>
  </si>
  <si>
    <r>
      <rPr>
        <sz val="10"/>
        <rFont val="宋体"/>
        <charset val="134"/>
      </rPr>
      <t>第</t>
    </r>
    <r>
      <rPr>
        <sz val="10"/>
        <rFont val="Arial Narrow"/>
        <charset val="134"/>
      </rPr>
      <t>27</t>
    </r>
    <r>
      <rPr>
        <sz val="10"/>
        <rFont val="宋体"/>
        <charset val="134"/>
      </rPr>
      <t>年</t>
    </r>
  </si>
  <si>
    <r>
      <rPr>
        <sz val="10"/>
        <rFont val="宋体"/>
        <charset val="134"/>
      </rPr>
      <t>第</t>
    </r>
    <r>
      <rPr>
        <sz val="10"/>
        <rFont val="Arial Narrow"/>
        <charset val="134"/>
      </rPr>
      <t>28</t>
    </r>
    <r>
      <rPr>
        <sz val="10"/>
        <rFont val="宋体"/>
        <charset val="134"/>
      </rPr>
      <t>年</t>
    </r>
  </si>
  <si>
    <r>
      <rPr>
        <sz val="10"/>
        <rFont val="宋体"/>
        <charset val="134"/>
      </rPr>
      <t>第</t>
    </r>
    <r>
      <rPr>
        <sz val="10"/>
        <rFont val="Arial Narrow"/>
        <charset val="134"/>
      </rPr>
      <t>29</t>
    </r>
    <r>
      <rPr>
        <sz val="10"/>
        <rFont val="宋体"/>
        <charset val="134"/>
      </rPr>
      <t>年</t>
    </r>
  </si>
  <si>
    <r>
      <rPr>
        <sz val="10"/>
        <rFont val="宋体"/>
        <charset val="134"/>
      </rPr>
      <t>第</t>
    </r>
    <r>
      <rPr>
        <sz val="10"/>
        <rFont val="Arial Narrow"/>
        <charset val="134"/>
      </rPr>
      <t>30</t>
    </r>
    <r>
      <rPr>
        <sz val="10"/>
        <rFont val="宋体"/>
        <charset val="134"/>
      </rPr>
      <t>年</t>
    </r>
  </si>
  <si>
    <r>
      <rPr>
        <sz val="10"/>
        <rFont val="宋体"/>
        <charset val="134"/>
      </rPr>
      <t>第</t>
    </r>
    <r>
      <rPr>
        <sz val="10"/>
        <rFont val="Arial Narrow"/>
        <charset val="134"/>
      </rPr>
      <t>31年</t>
    </r>
  </si>
  <si>
    <r>
      <rPr>
        <sz val="10"/>
        <rFont val="宋体"/>
        <charset val="134"/>
      </rPr>
      <t>第</t>
    </r>
    <r>
      <rPr>
        <sz val="10"/>
        <rFont val="Arial Narrow"/>
        <charset val="134"/>
      </rPr>
      <t>32年</t>
    </r>
  </si>
  <si>
    <r>
      <rPr>
        <sz val="10"/>
        <rFont val="宋体"/>
        <charset val="134"/>
      </rPr>
      <t>第</t>
    </r>
    <r>
      <rPr>
        <sz val="10"/>
        <rFont val="Arial Narrow"/>
        <charset val="134"/>
      </rPr>
      <t>33年</t>
    </r>
  </si>
  <si>
    <r>
      <rPr>
        <sz val="10"/>
        <rFont val="宋体"/>
        <charset val="134"/>
      </rPr>
      <t>合计</t>
    </r>
  </si>
  <si>
    <r>
      <rPr>
        <sz val="10"/>
        <rFont val="宋体"/>
        <charset val="134"/>
      </rPr>
      <t>一、项目现金流入</t>
    </r>
  </si>
  <si>
    <r>
      <rPr>
        <sz val="10"/>
        <rFont val="Arial Narrow"/>
        <charset val="134"/>
      </rPr>
      <t>1.</t>
    </r>
    <r>
      <rPr>
        <sz val="10"/>
        <rFont val="宋体"/>
        <charset val="134"/>
      </rPr>
      <t>业务活动现金流入</t>
    </r>
  </si>
  <si>
    <r>
      <rPr>
        <sz val="10"/>
        <rFont val="Arial Narrow"/>
        <charset val="134"/>
      </rPr>
      <t>2.</t>
    </r>
    <r>
      <rPr>
        <sz val="10"/>
        <rFont val="宋体"/>
        <charset val="134"/>
      </rPr>
      <t>融资活动现金流入</t>
    </r>
  </si>
  <si>
    <r>
      <rPr>
        <sz val="10"/>
        <rFont val="宋体"/>
        <charset val="134"/>
      </rPr>
      <t>其中：专项债券资金</t>
    </r>
  </si>
  <si>
    <r>
      <rPr>
        <sz val="10"/>
        <rFont val="宋体"/>
        <charset val="134"/>
      </rPr>
      <t>资本金投入</t>
    </r>
  </si>
  <si>
    <r>
      <rPr>
        <sz val="10"/>
        <rFont val="宋体"/>
        <charset val="134"/>
      </rPr>
      <t>二、项目现金流出</t>
    </r>
  </si>
  <si>
    <r>
      <rPr>
        <sz val="10"/>
        <rFont val="Arial Narrow"/>
        <charset val="134"/>
      </rPr>
      <t>1.</t>
    </r>
    <r>
      <rPr>
        <sz val="10"/>
        <rFont val="宋体"/>
        <charset val="134"/>
      </rPr>
      <t>业务活动现金流出</t>
    </r>
  </si>
  <si>
    <r>
      <rPr>
        <sz val="10"/>
        <rFont val="宋体"/>
        <charset val="134"/>
      </rPr>
      <t>其中：项目建设流出</t>
    </r>
  </si>
  <si>
    <r>
      <rPr>
        <sz val="10"/>
        <rFont val="宋体"/>
        <charset val="134"/>
      </rPr>
      <t>相关税费流出</t>
    </r>
  </si>
  <si>
    <r>
      <rPr>
        <sz val="10"/>
        <rFont val="宋体"/>
        <charset val="134"/>
      </rPr>
      <t>业务成本流出</t>
    </r>
  </si>
  <si>
    <r>
      <rPr>
        <sz val="10"/>
        <rFont val="Arial Narrow"/>
        <charset val="134"/>
      </rPr>
      <t>2.</t>
    </r>
    <r>
      <rPr>
        <sz val="10"/>
        <rFont val="宋体"/>
        <charset val="134"/>
      </rPr>
      <t>融资活动现金流出</t>
    </r>
  </si>
  <si>
    <r>
      <rPr>
        <sz val="10"/>
        <rFont val="宋体"/>
        <charset val="134"/>
      </rPr>
      <t>其中：债券发行费用</t>
    </r>
  </si>
  <si>
    <r>
      <rPr>
        <sz val="10"/>
        <rFont val="宋体"/>
        <charset val="134"/>
      </rPr>
      <t>偿还债券本金</t>
    </r>
  </si>
  <si>
    <r>
      <rPr>
        <sz val="10"/>
        <rFont val="宋体"/>
        <charset val="134"/>
      </rPr>
      <t>支付债券利息</t>
    </r>
  </si>
  <si>
    <r>
      <rPr>
        <sz val="10"/>
        <rFont val="宋体"/>
        <charset val="134"/>
      </rPr>
      <t>项目期初现金余额</t>
    </r>
  </si>
  <si>
    <r>
      <rPr>
        <sz val="10"/>
        <rFont val="宋体"/>
        <charset val="134"/>
      </rPr>
      <t>项目期内现金变动</t>
    </r>
  </si>
  <si>
    <r>
      <rPr>
        <sz val="10"/>
        <rFont val="宋体"/>
        <charset val="134"/>
      </rPr>
      <t>项目期末现金余额</t>
    </r>
  </si>
  <si>
    <r>
      <rPr>
        <b/>
        <sz val="9"/>
        <rFont val="宋体"/>
        <charset val="134"/>
      </rPr>
      <t>项</t>
    </r>
    <r>
      <rPr>
        <b/>
        <sz val="9"/>
        <rFont val="Times New Roman"/>
        <charset val="134"/>
      </rPr>
      <t xml:space="preserve">  </t>
    </r>
    <r>
      <rPr>
        <b/>
        <sz val="9"/>
        <rFont val="宋体"/>
        <charset val="134"/>
      </rPr>
      <t>目</t>
    </r>
  </si>
  <si>
    <t>折旧年限</t>
  </si>
  <si>
    <r>
      <rPr>
        <b/>
        <sz val="9"/>
        <rFont val="宋体"/>
        <charset val="134"/>
      </rPr>
      <t>合</t>
    </r>
    <r>
      <rPr>
        <b/>
        <sz val="9"/>
        <rFont val="Times New Roman"/>
        <charset val="134"/>
      </rPr>
      <t xml:space="preserve">  </t>
    </r>
    <r>
      <rPr>
        <b/>
        <sz val="9"/>
        <rFont val="宋体"/>
        <charset val="134"/>
      </rPr>
      <t>计</t>
    </r>
  </si>
  <si>
    <r>
      <rPr>
        <b/>
        <sz val="9"/>
        <rFont val="宋体"/>
        <charset val="134"/>
      </rPr>
      <t>计</t>
    </r>
    <r>
      <rPr>
        <b/>
        <sz val="9"/>
        <rFont val="Times New Roman"/>
        <charset val="134"/>
      </rPr>
      <t xml:space="preserve">       </t>
    </r>
    <r>
      <rPr>
        <b/>
        <sz val="9"/>
        <rFont val="宋体"/>
        <charset val="134"/>
      </rPr>
      <t>算</t>
    </r>
    <r>
      <rPr>
        <b/>
        <sz val="9"/>
        <rFont val="Times New Roman"/>
        <charset val="134"/>
      </rPr>
      <t xml:space="preserve">       </t>
    </r>
    <r>
      <rPr>
        <b/>
        <sz val="9"/>
        <rFont val="宋体"/>
        <charset val="134"/>
      </rPr>
      <t>期</t>
    </r>
  </si>
  <si>
    <r>
      <rPr>
        <b/>
        <sz val="9"/>
        <rFont val="Times New Roman"/>
        <charset val="134"/>
      </rPr>
      <t>(</t>
    </r>
    <r>
      <rPr>
        <b/>
        <sz val="9"/>
        <rFont val="宋体"/>
        <charset val="134"/>
      </rPr>
      <t>年</t>
    </r>
    <r>
      <rPr>
        <b/>
        <sz val="9"/>
        <rFont val="Times New Roman"/>
        <charset val="134"/>
      </rPr>
      <t>)</t>
    </r>
  </si>
  <si>
    <t>房屋、建筑物（新增）</t>
  </si>
  <si>
    <t>原值</t>
  </si>
  <si>
    <t>当期折旧费</t>
  </si>
  <si>
    <t>净值</t>
  </si>
  <si>
    <t>机器设备</t>
  </si>
  <si>
    <t>属于固定资产的其他费用</t>
  </si>
  <si>
    <t>固定资产合计</t>
  </si>
  <si>
    <t>内容</t>
  </si>
  <si>
    <t>计算方式</t>
  </si>
  <si>
    <t>参考取费标准</t>
  </si>
  <si>
    <t>从筹建之日起至办理竣工财务决算之日止发生的管理性质的支出，包括工作人员薪酬及相关费用、办公费、办公场地租用费、差旅交通费、劳动保护费、工具用具使用费、固定资产使用费、招募生产工人费、技术图书资料费（含软件）、业务招待费、竣工验收费和其他管理性质开支</t>
  </si>
  <si>
    <t>工程费用×建设单位管理费费率</t>
  </si>
  <si>
    <t>财建[2016]504号</t>
  </si>
  <si>
    <t>按80%计取</t>
  </si>
  <si>
    <t>用地与工程准备费</t>
  </si>
  <si>
    <t>土地使用费和补偿费</t>
  </si>
  <si>
    <t>此部分不考虑</t>
  </si>
  <si>
    <t>征地补偿费</t>
  </si>
  <si>
    <t>1.1</t>
  </si>
  <si>
    <t>土地补偿费</t>
  </si>
  <si>
    <t>青苗补偿费和地上附着物补偿费</t>
  </si>
  <si>
    <t>安置补助费</t>
  </si>
  <si>
    <t>耕地开垦费和森林植被恢复费</t>
  </si>
  <si>
    <t>生态补偿与压覆矿产资源补偿费</t>
  </si>
  <si>
    <t>其他补偿费</t>
  </si>
  <si>
    <t>拆迁补偿费用</t>
  </si>
  <si>
    <t>拆迁补偿金</t>
  </si>
  <si>
    <t>迁移补偿费</t>
  </si>
  <si>
    <t>土地出让金</t>
  </si>
  <si>
    <t>场地准备及临时设施费</t>
  </si>
  <si>
    <t>场地准备费是使工程项目的建设场地达到开工条件，由建设单位组织进行的场地平整等准备工作而发生的费用。
临时设施费是指建设单位为满足施工建设需要而提供的未列入工程费用的临时水、电、路、信、气、热等工程和临时仓库等建（构）筑物的建设、维修、拆除、摊销费用或租赁费用，以及货物、码头租赁等费用</t>
  </si>
  <si>
    <t>工程费用×费率+拆除清理费</t>
  </si>
  <si>
    <t>建标〔2011〕1号</t>
  </si>
  <si>
    <t>按照“洪府发[2004]3号”的60%计取</t>
  </si>
  <si>
    <t>市政公用配套设施费</t>
  </si>
  <si>
    <t xml:space="preserve">使用市政公用设施的建设项目，按照项目所在地省级人民政府有关规定建设或缴纳的市政公用设施建设配套费用，可能发生的公用供水、供气、供热设施建设的贴补费用、供电多回路高可靠性供电费用以及绿化工程补偿费用。 </t>
  </si>
  <si>
    <t>《南昌市市政公用设施配套费征收管理办法实施细则》计取，计取金额不包含“可能发生的公用供水、供气、供热设施建设的贴补费用、供电多回路高可靠性供电费用以及绿化工程补偿费用”</t>
  </si>
  <si>
    <t>技术服务费</t>
  </si>
  <si>
    <t>前期工作咨询费</t>
  </si>
  <si>
    <t>建设项目前期工作的咨询收费。包括：建设项目专题研究、编制目建议书、可行性研究报告,以及其他与建设项目前期工作有关的咨询服务收费。</t>
  </si>
  <si>
    <t>计价格［1999］1283号</t>
  </si>
  <si>
    <t>专项评价费</t>
  </si>
  <si>
    <t>环境影响评价费</t>
  </si>
  <si>
    <t xml:space="preserve"> 计价格[2002]125 号</t>
  </si>
  <si>
    <t>洪府发[2004]3号”的70%计取</t>
  </si>
  <si>
    <t>安全预评价费</t>
  </si>
  <si>
    <t>江西省安全评价收费指导价格（试行）</t>
  </si>
  <si>
    <t>职业病危害预评价费</t>
  </si>
  <si>
    <t>地质灾害危险性评价费</t>
  </si>
  <si>
    <t>水土保持评价费</t>
  </si>
  <si>
    <t>保监[2005]22 号 2005 年 6 月 17 日</t>
  </si>
  <si>
    <t>“洪府发[2004]3号”的70%计取</t>
  </si>
  <si>
    <t>压覆矿产资源评价费</t>
  </si>
  <si>
    <t>节能评估费</t>
  </si>
  <si>
    <t>沪发改环资（2012）043号</t>
  </si>
  <si>
    <t>危险与可操作性分析及安全完整性评价费</t>
  </si>
  <si>
    <t>社会稳定风险评估费</t>
  </si>
  <si>
    <t>赣评审字[2015]70 号</t>
  </si>
  <si>
    <t>劳动安全卫生评审费</t>
  </si>
  <si>
    <t>按照原劳动部《建设项目（工程）劳动安全卫生监察规定》和《建设项目（工程）劳动安全卫生评价管理办法》的规定，为分析建设项目存在的职业危害、危害因素的种类和危害成都，并提出先进、科学、合理可行的劳动安全卫生技术和管理对策的所需费用。</t>
  </si>
  <si>
    <t>工程费用X(0.1%-0.5%)</t>
  </si>
  <si>
    <t>5万平米（含）以下，2元/平米，5-20万平米，2元/平米，20-100万平米，1.5元/平米，100-200万平米，1.0元/平米；大于200万平米的，0.8元/平米</t>
  </si>
  <si>
    <t>其他专项评价费</t>
  </si>
  <si>
    <t>（三）</t>
  </si>
  <si>
    <t>勘察设计费</t>
  </si>
  <si>
    <t>勘察费</t>
  </si>
  <si>
    <t>工程费用的0.8%-1.1%</t>
  </si>
  <si>
    <t>计价格[2002]10号</t>
  </si>
  <si>
    <t>工程设计费参照执行“计价格[2002]10号”标准，并按照投资5000万元以下按85%、投资5000万元以上（含）按80%计取。</t>
  </si>
  <si>
    <t>（四）</t>
  </si>
  <si>
    <t>工程监理费</t>
  </si>
  <si>
    <t>指委托工程监理单位对工程实施监理工作所需费用。包括：施工监理和勘察、设计、保修等阶段监理。</t>
  </si>
  <si>
    <t>发改价格[2007]670号</t>
  </si>
  <si>
    <r>
      <rPr>
        <sz val="10.5"/>
        <color theme="1"/>
        <rFont val="仿宋_GB2312"/>
        <charset val="134"/>
      </rPr>
      <t>洪府发</t>
    </r>
    <r>
      <rPr>
        <sz val="10.5"/>
        <color theme="1"/>
        <rFont val="宋体"/>
        <charset val="134"/>
      </rPr>
      <t>[2004]3</t>
    </r>
    <r>
      <rPr>
        <sz val="10.5"/>
        <color theme="1"/>
        <rFont val="仿宋_GB2312"/>
        <charset val="134"/>
      </rPr>
      <t>号”的</t>
    </r>
    <r>
      <rPr>
        <sz val="10.5"/>
        <color theme="1"/>
        <rFont val="宋体"/>
        <charset val="134"/>
      </rPr>
      <t>70%</t>
    </r>
    <r>
      <rPr>
        <sz val="10.5"/>
        <color theme="1"/>
        <rFont val="仿宋_GB2312"/>
        <charset val="134"/>
      </rPr>
      <t>计取</t>
    </r>
  </si>
  <si>
    <t>（五）</t>
  </si>
  <si>
    <t>研究试验费</t>
  </si>
  <si>
    <t>（六）</t>
  </si>
  <si>
    <t>特殊设备安全监督检验费</t>
  </si>
  <si>
    <t>（七）</t>
  </si>
  <si>
    <t>监造费</t>
  </si>
  <si>
    <t>（八）</t>
  </si>
  <si>
    <t>招标代理费</t>
  </si>
  <si>
    <t>指招标代理机构接受招标人委托,从事招标业务所需的费用。包括：编制招标文件，审查投标人资格，组织投标人踏勘现场并答疑，组织开标、评标、定标、以及提供招标前期咨询、协调合同的签订等业务。</t>
  </si>
  <si>
    <t>发改价格[2011]534号</t>
  </si>
  <si>
    <t>下浮20%计取</t>
  </si>
  <si>
    <t>（九）</t>
  </si>
  <si>
    <t>指施工图审查机构受建设单位委托，根据国家法律、法规、技术标准与规范，对施工图进行审查所需的费用。</t>
  </si>
  <si>
    <t>赣价房字[2000]6号</t>
  </si>
  <si>
    <t>按70%计取</t>
  </si>
  <si>
    <t>（十）</t>
  </si>
  <si>
    <t>技术经济标准使用费</t>
  </si>
  <si>
    <t>（十一）</t>
  </si>
  <si>
    <t>工程造价咨询费</t>
  </si>
  <si>
    <t>指委托工程造价咨询单位审核设计概算、编制工程量清单、工程结算和竣工决算等计价文件，以及从事建设各阶段工程造价管理的咨询服务，出具工程造价成果文件等费用。</t>
  </si>
  <si>
    <t>赣价协[2021]23号</t>
  </si>
  <si>
    <t>（十二）</t>
  </si>
  <si>
    <t>工程保险费</t>
  </si>
  <si>
    <t>指建设项目在建设期间根据需要对建筑工程、安装工程及机器设备和人身安全进行投保而发生的保险费用。包括：建筑安装工程一切险、人身意外伤害险和引进设备财产保险等费用。</t>
  </si>
  <si>
    <t>工程费用 X(0.3%~.6%)</t>
  </si>
  <si>
    <t>输入费用</t>
  </si>
  <si>
    <t>输入建筑面积</t>
  </si>
  <si>
    <t>评估报告书</t>
  </si>
  <si>
    <t>评估报告表</t>
  </si>
  <si>
    <t>    估算投资额</t>
  </si>
  <si>
    <t>1000万元</t>
  </si>
  <si>
    <t>1000～3000</t>
  </si>
  <si>
    <t>3000万元～</t>
  </si>
  <si>
    <t>1亿元～</t>
  </si>
  <si>
    <t>5亿元～</t>
  </si>
  <si>
    <t>10亿元～</t>
  </si>
  <si>
    <t>50亿元</t>
  </si>
  <si>
    <t>咨询评估项目</t>
  </si>
  <si>
    <t>以下</t>
  </si>
  <si>
    <t>1亿元</t>
  </si>
  <si>
    <t>5亿元</t>
  </si>
  <si>
    <t>10亿元</t>
  </si>
  <si>
    <t>以上</t>
  </si>
  <si>
    <t>一、编制项目建议书</t>
  </si>
  <si>
    <t>2～4</t>
  </si>
  <si>
    <t>4～6</t>
  </si>
  <si>
    <t>6～14</t>
  </si>
  <si>
    <t>14～37</t>
  </si>
  <si>
    <t>37～55</t>
  </si>
  <si>
    <t>55～100</t>
  </si>
  <si>
    <t>100～125</t>
  </si>
  <si>
    <t>二、编制可行性研究报告</t>
  </si>
  <si>
    <t>3～6</t>
  </si>
  <si>
    <t>6～12</t>
  </si>
  <si>
    <t>12～28</t>
  </si>
  <si>
    <t>28～75</t>
  </si>
  <si>
    <t>75～110</t>
  </si>
  <si>
    <t>110～200</t>
  </si>
  <si>
    <t>200～250</t>
  </si>
  <si>
    <t>三、评估项目建议书</t>
  </si>
  <si>
    <t>1～2</t>
  </si>
  <si>
    <t>4～8</t>
  </si>
  <si>
    <t>8～12</t>
  </si>
  <si>
    <t>12～15</t>
  </si>
  <si>
    <t>15～17</t>
  </si>
  <si>
    <t>17～20</t>
  </si>
  <si>
    <t>四、评估可行性研究报告</t>
  </si>
  <si>
    <t>1.5～3</t>
  </si>
  <si>
    <t>3～5</t>
  </si>
  <si>
    <t>5～10</t>
  </si>
  <si>
    <t>10～15</t>
  </si>
  <si>
    <t>15～20</t>
  </si>
  <si>
    <t>20～25</t>
  </si>
  <si>
    <t>25～35</t>
  </si>
  <si>
    <t>行业调整系数</t>
  </si>
  <si>
    <t>林业与建筑0.8， 市政公用工程与交通（公路）0.7。工程复杂程度调整系数0.8~1.2。</t>
  </si>
  <si>
    <t>项目建议书</t>
  </si>
  <si>
    <t>可行性研究报告</t>
  </si>
  <si>
    <t>评估项目建议书</t>
  </si>
  <si>
    <t>评估可行性研究报告</t>
  </si>
  <si>
    <t>输入工程费用</t>
  </si>
  <si>
    <t>造价区间（万）</t>
  </si>
  <si>
    <t>货物采购招标</t>
  </si>
  <si>
    <t>要计算的造价（万）</t>
  </si>
  <si>
    <t>100以下</t>
  </si>
  <si>
    <t>100－500</t>
  </si>
  <si>
    <t>500－1000</t>
  </si>
  <si>
    <t>1000－5000</t>
  </si>
  <si>
    <t>5000－10000</t>
  </si>
  <si>
    <t>10000－100000</t>
  </si>
  <si>
    <t>100000以上</t>
  </si>
  <si>
    <t>合计费用</t>
  </si>
  <si>
    <t>最终费用万元：</t>
  </si>
  <si>
    <t>允许范围：上浮20%</t>
  </si>
  <si>
    <t>允许范围：下浮20%</t>
  </si>
  <si>
    <t>内容锁定区</t>
  </si>
  <si>
    <t>关于印发《基本建设项目建设成本管理规定》的通知</t>
  </si>
  <si>
    <t>党中央有关部门，国务院各部委、各直属机构，军委后勤保障部，武警总部，全国人大常委会办公厅，全国政协办公厅，高法院，高检院，各民主党派中央，有关人民团体，各中央管理企业，各省、自治区、计划单列市财政厅（局），新疆生产建设兵团财务局：</t>
  </si>
  <si>
    <t>　　为推动各部门、各地区进一步加强基本建设成本核算管理，提高资金使用效益，针对基本建设成本管理中反映出的主要问题，依据《基本建设财务规则》，现印发《基本建设项目建设成本管理规定》，请认真贯彻执行。</t>
  </si>
  <si>
    <t>附件：1.基本建设项目建设成本管理规定</t>
  </si>
  <si>
    <t xml:space="preserve">           2.项目建设管理费总额控制数费率表</t>
  </si>
  <si>
    <t>财 政 部</t>
  </si>
  <si>
    <t>附件1：</t>
  </si>
  <si>
    <t>基本建设项目建设成本管理规定</t>
  </si>
  <si>
    <t>　　第一条  为了规范基本建设项目建设成本管理，提高建设资金使用效益，依据《基本建设财务规则》（财政部令第81号），制定本规定。</t>
  </si>
  <si>
    <t xml:space="preserve">       第二条　建筑安装工程投资支出是指基本建设项目（以下简称项目）建设单位按照批准的建设内容发生的建筑工程和安装工程的实际成本，其中不包括被安装设备本身的价值，以及按照合同规定支付给施工单位的预付备料款和预付工程款。</t>
  </si>
  <si>
    <t>在此区域输入</t>
  </si>
  <si>
    <t xml:space="preserve">       第三条　设备投资支出是指项目建设单位按照批准的建设内容发生的各种设备的实际成本（不包括工程抵扣的增值税进项税额），包括需要安装设备、不需要安装设备和为生产准备的不够固定资产标准的工具、器具的实际成本。</t>
  </si>
  <si>
    <t xml:space="preserve">       需要安装设备是指必须将其整体或几个部位装配起来，安装在基础上或建筑物支架上才能使用的设备。不需要安装设备是指不必固定在一定位置或支架上就可以使用的设备。</t>
  </si>
  <si>
    <t xml:space="preserve">       第四条　待摊投资支出是指项目建设单位按照批准的建设内容发生的，应当分摊计入相关资产价值的各项费用和税金支出。主要包括：</t>
  </si>
  <si>
    <t xml:space="preserve">      （一）勘察费、设计费、研究试验费、可行性研究费及项目其他前期费用；</t>
  </si>
  <si>
    <t xml:space="preserve">      （二）土地征用及迁移补偿费、土地复垦及补偿费、森林植被恢复费及其他为取得或租用土地使用权而发生的费用；</t>
  </si>
  <si>
    <t xml:space="preserve">      （三）土地使用税、耕地占用税、契税、车船税、印花税及按规定缴纳的其他税费；</t>
  </si>
  <si>
    <t xml:space="preserve">      （四）项目建设管理费、代建管理费、临时设施费、监理费、招标投标费、社会中介机构审查费及其他管理性质的费用；</t>
  </si>
  <si>
    <t xml:space="preserve">      （五）项目建设期间发生的各类借款利息、债券利息、贷款评估费、国外借款手续费及承诺费、汇兑损益、债券发行费用及其他债务利息支出或融资费用；</t>
  </si>
  <si>
    <t xml:space="preserve">      （六）工程检测费、设备检验费、负荷联合试车费及其他检验检测类费用；</t>
  </si>
  <si>
    <t xml:space="preserve">      （七）固定资产损失、器材处理亏损、设备盘亏及毁损、报废工程净损失及其他损失；</t>
  </si>
  <si>
    <t xml:space="preserve">      （八）系统集成等信息工程的费用支出；</t>
  </si>
  <si>
    <t xml:space="preserve">      （九）其他待摊投资性质支出。</t>
  </si>
  <si>
    <t xml:space="preserve">       项目在建设期间的建设资金存款利息收入冲减债务利息支出，利息收入超过利息支出的部分，冲减待摊投资总支出。</t>
  </si>
  <si>
    <t xml:space="preserve">       第五条  项目建设管理费是指项目建设单位从项目筹建之日起至办理竣工财务决算之日止发生的管理性质的支出。包括：不在原单位发工资的工作人员工资及相关费用、办公费、办公场地租用费、差旅交通费、劳动保护费、工具用具使用费、固定资产使用费、招募生产工人费、技术图书资料费（含软件）、业务招待费、施工现场津贴、竣工验收费和其他管理性质开支。</t>
  </si>
  <si>
    <t xml:space="preserve">       项目建设单位应当严格执行《党政机关厉行节约反对浪费条例》，严格控制项目建设管理费。</t>
  </si>
  <si>
    <t xml:space="preserve">       第六条 行政事业单位项目建设管理费实行总额控制，分年度据实列支。总额控制数以项目审批部门批准的项目总投资（经批准的动态投资，不含项目建设管理费）扣除土地征用、迁移补偿等为取得或租用土地使用权而发生的费用为基数分档计算。具体计算方法见附件。</t>
  </si>
  <si>
    <t>　    建设地点分散、点多面广、建设工期长以及使用新技术、新工艺等的项目，项目建设管理费确需超过上述开支标准的，中央级项目,应当事前报项目主管部门审核批准，并报财政部备案，未经批准的，超标准发生的项目建设管理费由项目建设单位用自有资金弥补；地方级项目，由同级财政部门确定审核批准的要求和程序。</t>
  </si>
  <si>
    <t xml:space="preserve">       施工现场管理人员津贴标准比照当地财政部门制定的差旅费标准执行；一般不得发生业务招待费，确需列支的，项目业务招待费支出应当严格按照国家有关规定执行，并不得超过项目建设管理费的5%。</t>
  </si>
  <si>
    <t xml:space="preserve">       第七条 使用财政资金的国有和国有控股企业的项目建设管理费，比照第六条规定执行。国有和国有控股企业经营性项目的项目资本中，财政资金所占比例未超过50%的项目建设管理费可不执行第六条规定。</t>
  </si>
  <si>
    <t xml:space="preserve">       第八条  政府设立（或授权）、政府招标产生的代建制项目，代建管理费由同级财政部门根据代建内容和要求，按照不高于本规定项目建设管理费标准核定，计入项目建设成本。</t>
  </si>
  <si>
    <t xml:space="preserve">       实行代建制管理的项目，一般不得同时列支代建管理费和项目建设管理费，确需同时发生的，两项费用之和不得高于本规定的项目建设管理费限额。</t>
  </si>
  <si>
    <t xml:space="preserve">       建设地点分散、点多面广以及使用新技术、新工艺等的项目，代建管理费确需超过本规定确定的开支标准的，行政单位和使用财政资金建设的事业单位中央项目,应当事前报项目主管部门审核批准，并报财政部备案；地方项目，由同级财政部门确定审核批准的要求和程序。</t>
  </si>
  <si>
    <t xml:space="preserve">       代建管理费核定和支付应当与工程进度、建设质量结合，与代建内容、代建绩效挂钩，实行奖优罚劣。同时满足按时完成项目代建任务、工程质量优良、项目投资控制在批准概算总投资范围3个条件的，可以支付代建单位利润或奖励资金，代建单位利润或奖励资金一般不得超过代建管理费的10%，需使用财政资金支付的，应当事前报同级财政部门审核批准；未完成代建任务的，应当扣减代建管理费。</t>
  </si>
  <si>
    <t xml:space="preserve">       第九条　项目单项工程报废净损失计入待摊投资支出。</t>
  </si>
  <si>
    <t xml:space="preserve">       单项工程报废应当经有关部门或专业机构鉴定。非经营性项目以及使用财政资金所占比例超过项目资本50%的经营性项目，发生的单项工程报废经鉴定后，报项目竣工财务决算批复部门审核批准。</t>
  </si>
  <si>
    <t xml:space="preserve">       因设计单位、施工单位、供货单位等原因造成的单项工程报废损失，由责任单位承担。</t>
  </si>
  <si>
    <t xml:space="preserve">       第十条　其他投资支出是指项目建设单位按照批准的项目建设内容发生的房屋购置支出，基本畜禽、林木等的购置、饲养、培育支出，办公生活用家具、器具购置支出，软件研发及不能计入设备投资的软件购置等支出。</t>
  </si>
  <si>
    <t xml:space="preserve">       第十一条  本规定自2016年9月1日起施行。《财政部关于切实加强政府投资项目代建制财政财务管理有关问题的指导意见》(财建〔2004〕300号)同时废止。</t>
  </si>
  <si>
    <t>附件2</t>
  </si>
  <si>
    <t>项目建设管理费总额控制数费率表</t>
  </si>
  <si>
    <t>工程总概算</t>
  </si>
  <si>
    <t>算例</t>
  </si>
  <si>
    <t>项目建设管理费</t>
  </si>
  <si>
    <t>1000以下</t>
  </si>
  <si>
    <t>1000*2%=20</t>
  </si>
  <si>
    <t>1001-5000</t>
  </si>
  <si>
    <t>20+（5000-1000）*1.5%=80</t>
  </si>
  <si>
    <t>5001-10000</t>
  </si>
  <si>
    <t>80+（10000-5000）*1.2%=140</t>
  </si>
  <si>
    <t>10001-50000</t>
  </si>
  <si>
    <t>140+（50000-10000）*1%=540</t>
  </si>
  <si>
    <t>50001-100000</t>
  </si>
  <si>
    <t>540+（100000-50000）*0.8%=940</t>
  </si>
  <si>
    <t>940+（200000-100000）*0.4%=1340</t>
  </si>
  <si>
    <t>发布日期:  2016年08月18日</t>
  </si>
  <si>
    <t xml:space="preserve">场地准备及临时设施费:包括场地准备费和临时设施费. </t>
  </si>
  <si>
    <t>1)场地准备费是使工程项目的建设场地达到开工条件，由建设单位组织进行的场地平整等准备工作而发生的费用。</t>
  </si>
  <si>
    <t xml:space="preserve">2)临时设施费是指为满足施工建设需要而供到场地界区的、未列人工程费用的临时水、电、路、通信、气等其他工程费用和建设单位的现场临时建（构)筑物的搭设、建设、维修、拆除、摊销费用或租赁费用，货物、码头租赁等费用，以及施工期间专用公路养护费、维修费. </t>
  </si>
  <si>
    <t xml:space="preserve">3)场地准备及临时设施应尽量与永久性工程统一考虑.建设场地的大型土石方工程应进人工程费用中的总图运输费用中. </t>
  </si>
  <si>
    <t xml:space="preserve">计算方法: </t>
  </si>
  <si>
    <r>
      <rPr>
        <sz val="11"/>
        <color theme="1"/>
        <rFont val="等线"/>
        <charset val="134"/>
        <scheme val="minor"/>
      </rPr>
      <t>1）新建项目的场地准备和临时设施费应根据实际工程量估算，或按工程费用的比例计算，一般可按</t>
    </r>
    <r>
      <rPr>
        <b/>
        <sz val="11"/>
        <color rgb="FFFF0000"/>
        <rFont val="等线"/>
        <charset val="134"/>
        <scheme val="minor"/>
      </rPr>
      <t>第一部分工程费用的 0. 5% ^ 2.0%</t>
    </r>
    <r>
      <rPr>
        <sz val="11"/>
        <color theme="1"/>
        <rFont val="等线"/>
        <charset val="134"/>
        <scheme val="minor"/>
      </rPr>
      <t>计列。</t>
    </r>
  </si>
  <si>
    <t>(2)改扩建项目一般只计拆除清理费。</t>
  </si>
  <si>
    <t>(3)发生拆除清理费时可按新建同类工程造价或主材费、设备费的比例计算.凡可回收材料的拆除采用以料抵工方式，不再计算拆除清理费。</t>
  </si>
  <si>
    <t>(4)此费用不包括已列入建筑安装工程费用中的施工单位临时设施费用。</t>
  </si>
  <si>
    <t>总投资额
（亿元）</t>
  </si>
  <si>
    <t>基础报价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</si>
</sst>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quot;在&quot;&quot;此&quot;&quot;区&quot;&quot;间&quot;&quot;内&quot;;[=0]\ "/>
    <numFmt numFmtId="177" formatCode="0.0"/>
    <numFmt numFmtId="178" formatCode="0.00_);[Red]\(0.00\)"/>
    <numFmt numFmtId="179" formatCode="0.0000_ "/>
    <numFmt numFmtId="180" formatCode="0.000%"/>
    <numFmt numFmtId="181" formatCode="0_);[Red]\(0\)"/>
    <numFmt numFmtId="182" formatCode="0.0000%"/>
    <numFmt numFmtId="183" formatCode="_(* #,##0.00_);_(* \(#,##0.00\);_(* &quot;-&quot;??_);_(@_)"/>
    <numFmt numFmtId="184" formatCode="0.00_ "/>
    <numFmt numFmtId="185" formatCode="&quot;每&quot;&quot;五&quot;&quot;年&quot;&quot;上&quot;&quot;升&quot;0%"/>
    <numFmt numFmtId="186" formatCode="yyyy/mm/dd;@"/>
    <numFmt numFmtId="187" formatCode="0_ "/>
    <numFmt numFmtId="188" formatCode="&quot;发&quot;&quot;债&quot;&quot;金&quot;&quot;额&quot;&quot;的&quot;0.00%"/>
    <numFmt numFmtId="189" formatCode="&quot;（&quot;&quot;一&quot;\+&quot;二&quot;&quot;）&quot;&quot;×&quot;0%"/>
    <numFmt numFmtId="190" formatCode="0.00%&quot;利&quot;&quot;率&quot;"/>
  </numFmts>
  <fonts count="88">
    <font>
      <sz val="11"/>
      <color theme="1"/>
      <name val="等线"/>
      <charset val="134"/>
      <scheme val="minor"/>
    </font>
    <font>
      <sz val="11"/>
      <color rgb="FF3F3F76"/>
      <name val="等线"/>
      <charset val="134"/>
      <scheme val="minor"/>
    </font>
    <font>
      <b/>
      <sz val="11"/>
      <color theme="1"/>
      <name val="等线"/>
      <charset val="134"/>
      <scheme val="minor"/>
    </font>
    <font>
      <b/>
      <sz val="11"/>
      <color indexed="8"/>
      <name val="宋体"/>
      <charset val="134"/>
    </font>
    <font>
      <sz val="11"/>
      <color indexed="8"/>
      <name val="宋体"/>
      <charset val="134"/>
    </font>
    <font>
      <sz val="10.5"/>
      <color indexed="8"/>
      <name val="宋体"/>
      <charset val="134"/>
    </font>
    <font>
      <b/>
      <sz val="16"/>
      <color theme="1"/>
      <name val="等线"/>
      <charset val="134"/>
      <scheme val="minor"/>
    </font>
    <font>
      <sz val="10.5"/>
      <color theme="1"/>
      <name val="仿宋_GB2312"/>
      <charset val="134"/>
    </font>
    <font>
      <b/>
      <sz val="9"/>
      <name val="宋体"/>
      <charset val="134"/>
    </font>
    <font>
      <b/>
      <sz val="9"/>
      <name val="Times New Roman"/>
      <charset val="134"/>
    </font>
    <font>
      <sz val="9"/>
      <name val="Times New Roman"/>
      <charset val="134"/>
    </font>
    <font>
      <sz val="9"/>
      <name val="宋体"/>
      <charset val="134"/>
    </font>
    <font>
      <sz val="16"/>
      <name val="Arial Narrow"/>
      <charset val="134"/>
    </font>
    <font>
      <sz val="10"/>
      <name val="Arial Narrow"/>
      <charset val="134"/>
    </font>
    <font>
      <sz val="10"/>
      <name val="宋体"/>
      <charset val="134"/>
    </font>
    <font>
      <sz val="10"/>
      <color theme="1"/>
      <name val="Arial Narrow"/>
      <charset val="134"/>
    </font>
    <font>
      <sz val="11"/>
      <name val="宋体"/>
      <charset val="134"/>
    </font>
    <font>
      <b/>
      <sz val="11"/>
      <name val="宋体"/>
      <charset val="134"/>
    </font>
    <font>
      <b/>
      <sz val="11"/>
      <color theme="1"/>
      <name val="仿宋"/>
      <charset val="134"/>
    </font>
    <font>
      <sz val="11"/>
      <color theme="1"/>
      <name val="仿宋"/>
      <charset val="134"/>
    </font>
    <font>
      <sz val="11"/>
      <color theme="1"/>
      <name val="宋体"/>
      <charset val="134"/>
    </font>
    <font>
      <b/>
      <sz val="10.5"/>
      <name val="仿宋"/>
      <charset val="134"/>
    </font>
    <font>
      <sz val="10.5"/>
      <name val="仿宋"/>
      <charset val="134"/>
    </font>
    <font>
      <sz val="6"/>
      <color theme="1"/>
      <name val="等线"/>
      <charset val="134"/>
      <scheme val="minor"/>
    </font>
    <font>
      <b/>
      <sz val="11"/>
      <color rgb="FF000000"/>
      <name val="宋体"/>
      <charset val="134"/>
    </font>
    <font>
      <sz val="14.05"/>
      <color rgb="FF000000"/>
      <name val="仿宋"/>
      <charset val="134"/>
    </font>
    <font>
      <sz val="14.05"/>
      <color rgb="FF000000"/>
      <name val="Times New Roman"/>
      <charset val="134"/>
    </font>
    <font>
      <sz val="10"/>
      <color theme="1"/>
      <name val="Times New Roman"/>
      <charset val="134"/>
    </font>
    <font>
      <b/>
      <sz val="10"/>
      <color theme="1"/>
      <name val="宋体"/>
      <charset val="134"/>
    </font>
    <font>
      <sz val="10"/>
      <color theme="1"/>
      <name val="宋体"/>
      <charset val="134"/>
    </font>
    <font>
      <sz val="10"/>
      <color theme="1"/>
      <name val="MS Gothic"/>
      <charset val="128"/>
    </font>
    <font>
      <sz val="11"/>
      <name val="等线"/>
      <charset val="134"/>
      <scheme val="minor"/>
    </font>
    <font>
      <b/>
      <sz val="10.5"/>
      <color rgb="FF000000"/>
      <name val="宋体"/>
      <charset val="134"/>
    </font>
    <font>
      <sz val="12"/>
      <name val="宋体"/>
      <charset val="134"/>
    </font>
    <font>
      <b/>
      <sz val="10.5"/>
      <color indexed="8"/>
      <name val="宋体"/>
      <charset val="134"/>
    </font>
    <font>
      <b/>
      <sz val="10.5"/>
      <color indexed="8"/>
      <name val="Times New Roman"/>
      <charset val="134"/>
    </font>
    <font>
      <sz val="10.5"/>
      <color indexed="8"/>
      <name val="Times New Roman"/>
      <charset val="134"/>
    </font>
    <font>
      <b/>
      <sz val="11"/>
      <color indexed="8"/>
      <name val="等线"/>
      <charset val="134"/>
      <scheme val="minor"/>
    </font>
    <font>
      <sz val="11"/>
      <color indexed="8"/>
      <name val="等线"/>
      <charset val="134"/>
      <scheme val="minor"/>
    </font>
    <font>
      <b/>
      <sz val="11"/>
      <color theme="1"/>
      <name val="Segoe UI Symbol"/>
      <charset val="134"/>
    </font>
    <font>
      <b/>
      <sz val="11"/>
      <color rgb="FFFA7D00"/>
      <name val="等线"/>
      <charset val="134"/>
      <scheme val="minor"/>
    </font>
    <font>
      <b/>
      <sz val="11"/>
      <color rgb="FF3F3F76"/>
      <name val="等线"/>
      <charset val="134"/>
      <scheme val="minor"/>
    </font>
    <font>
      <b/>
      <sz val="11"/>
      <color indexed="8"/>
      <name val="等线"/>
      <charset val="134"/>
    </font>
    <font>
      <sz val="11"/>
      <color indexed="8"/>
      <name val="等线"/>
      <charset val="134"/>
    </font>
    <font>
      <b/>
      <sz val="12"/>
      <name val="仿宋"/>
      <charset val="134"/>
    </font>
    <font>
      <sz val="12"/>
      <name val="仿宋"/>
      <charset val="134"/>
    </font>
    <font>
      <b/>
      <sz val="11"/>
      <color rgb="FF000000"/>
      <name val="仿宋"/>
      <charset val="134"/>
    </font>
    <font>
      <b/>
      <sz val="11"/>
      <color rgb="FFFF0000"/>
      <name val="宋体"/>
      <charset val="134"/>
    </font>
    <font>
      <sz val="12"/>
      <color theme="9"/>
      <name val="仿宋"/>
      <charset val="134"/>
    </font>
    <font>
      <b/>
      <sz val="9"/>
      <name val="仿宋"/>
      <charset val="134"/>
    </font>
    <font>
      <b/>
      <sz val="12"/>
      <name val="宋体"/>
      <charset val="134"/>
    </font>
    <font>
      <b/>
      <sz val="14"/>
      <name val="仿宋"/>
      <charset val="134"/>
    </font>
    <font>
      <sz val="10.45"/>
      <color rgb="FF000000"/>
      <name val="仿宋"/>
      <charset val="134"/>
    </font>
    <font>
      <sz val="10.5"/>
      <color rgb="FF000000"/>
      <name val="仿宋"/>
      <charset val="134"/>
    </font>
    <font>
      <b/>
      <sz val="10.45"/>
      <color rgb="FF000000"/>
      <name val="仿宋"/>
      <charset val="134"/>
    </font>
    <font>
      <b/>
      <sz val="10.5"/>
      <color theme="1"/>
      <name val="仿宋"/>
      <charset val="134"/>
    </font>
    <font>
      <b/>
      <sz val="10.5"/>
      <color rgb="FF000000"/>
      <name val="仿宋"/>
      <charset val="134"/>
    </font>
    <font>
      <sz val="11.25"/>
      <color rgb="FF333333"/>
      <name val="Helvetica"/>
      <charset val="134"/>
    </font>
    <font>
      <b/>
      <sz val="10"/>
      <name val="宋体"/>
      <charset val="134"/>
    </font>
    <font>
      <b/>
      <sz val="10"/>
      <color rgb="FF000000"/>
      <name val="宋体"/>
      <charset val="134"/>
    </font>
    <font>
      <sz val="10"/>
      <color rgb="FF000000"/>
      <name val="宋体"/>
      <charset val="134"/>
    </font>
    <font>
      <sz val="14"/>
      <color rgb="FF000000"/>
      <name val="仿宋"/>
      <charset val="134"/>
    </font>
    <font>
      <sz val="14"/>
      <color theme="1"/>
      <name val="仿宋"/>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b/>
      <sz val="11"/>
      <color rgb="FF3F3F3F"/>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S PMincho"/>
      <charset val="128"/>
    </font>
    <font>
      <sz val="16"/>
      <name val="宋体"/>
      <charset val="134"/>
    </font>
    <font>
      <b/>
      <sz val="11"/>
      <color theme="1"/>
      <name val="宋体"/>
      <charset val="134"/>
    </font>
    <font>
      <sz val="10.5"/>
      <color rgb="FF000000"/>
      <name val="Times New Roman"/>
      <charset val="134"/>
    </font>
    <font>
      <sz val="10.5"/>
      <color rgb="FF333333"/>
      <name val="Arial"/>
      <charset val="134"/>
    </font>
    <font>
      <b/>
      <sz val="11"/>
      <color rgb="FFFF0000"/>
      <name val="等线"/>
      <charset val="134"/>
      <scheme val="minor"/>
    </font>
    <font>
      <sz val="10.5"/>
      <color theme="1"/>
      <name val="宋体"/>
      <charset val="134"/>
    </font>
    <font>
      <sz val="11"/>
      <color theme="1"/>
      <name val="等线"/>
      <charset val="134"/>
    </font>
  </fonts>
  <fills count="4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rgb="FF969696"/>
        <bgColor indexed="64"/>
      </patternFill>
    </fill>
    <fill>
      <patternFill patternType="solid">
        <fgColor rgb="FFFFCC00"/>
        <bgColor indexed="64"/>
      </patternFill>
    </fill>
    <fill>
      <patternFill patternType="solid">
        <fgColor theme="2"/>
        <bgColor indexed="64"/>
      </patternFill>
    </fill>
    <fill>
      <patternFill patternType="solid">
        <fgColor theme="6" tint="0.399975585192419"/>
        <bgColor indexed="64"/>
      </patternFill>
    </fill>
    <fill>
      <patternFill patternType="solid">
        <fgColor theme="0" tint="-0.149998474074526"/>
        <bgColor indexed="64"/>
      </patternFill>
    </fill>
    <fill>
      <patternFill patternType="solid">
        <fgColor theme="7"/>
        <bgColor indexed="64"/>
      </patternFill>
    </fill>
    <fill>
      <patternFill patternType="solid">
        <fgColor theme="9" tint="0.599993896298105"/>
        <bgColor indexed="64"/>
      </patternFill>
    </fill>
    <fill>
      <patternFill patternType="solid">
        <fgColor theme="0" tint="-0.25"/>
        <bgColor indexed="64"/>
      </patternFill>
    </fill>
    <fill>
      <patternFill patternType="solid">
        <fgColor theme="9"/>
        <bgColor indexed="64"/>
      </patternFill>
    </fill>
    <fill>
      <patternFill patternType="solid">
        <fgColor rgb="FF92D050"/>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rgb="FFFFC000"/>
        <bgColor indexed="64"/>
      </patternFill>
    </fill>
    <fill>
      <patternFill patternType="solid">
        <fgColor rgb="FFC00000"/>
        <bgColor indexed="64"/>
      </patternFill>
    </fill>
    <fill>
      <patternFill patternType="solid">
        <fgColor theme="8" tint="0.399945066682943"/>
        <bgColor indexed="64"/>
      </patternFill>
    </fill>
    <fill>
      <patternFill patternType="solid">
        <fgColor theme="8" tint="0.4"/>
        <bgColor indexed="64"/>
      </patternFill>
    </fill>
    <fill>
      <patternFill patternType="solid">
        <fgColor rgb="FFF2F2F2"/>
        <bgColor indexed="64"/>
      </patternFill>
    </fill>
    <fill>
      <patternFill patternType="solid">
        <fgColor theme="0"/>
        <bgColor indexed="64"/>
      </patternFill>
    </fill>
    <fill>
      <patternFill patternType="solid">
        <fgColor theme="5" tint="0.599993896298105"/>
        <bgColor indexed="64"/>
      </patternFill>
    </fill>
    <fill>
      <patternFill patternType="solid">
        <fgColor theme="9" tint="0.4"/>
        <bgColor indexed="64"/>
      </patternFill>
    </fill>
    <fill>
      <patternFill patternType="solid">
        <fgColor rgb="FFBDD6EE"/>
        <bgColor indexed="64"/>
      </patternFill>
    </fill>
    <fill>
      <patternFill patternType="solid">
        <fgColor rgb="FFFFFFCC"/>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0" fillId="26" borderId="41"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42" applyNumberFormat="0" applyFill="0" applyAlignment="0" applyProtection="0">
      <alignment vertical="center"/>
    </xf>
    <xf numFmtId="0" fontId="69" fillId="0" borderId="42" applyNumberFormat="0" applyFill="0" applyAlignment="0" applyProtection="0">
      <alignment vertical="center"/>
    </xf>
    <xf numFmtId="0" fontId="70" fillId="0" borderId="43" applyNumberFormat="0" applyFill="0" applyAlignment="0" applyProtection="0">
      <alignment vertical="center"/>
    </xf>
    <xf numFmtId="0" fontId="70" fillId="0" borderId="0" applyNumberFormat="0" applyFill="0" applyBorder="0" applyAlignment="0" applyProtection="0">
      <alignment vertical="center"/>
    </xf>
    <xf numFmtId="0" fontId="1" fillId="2" borderId="2" applyNumberFormat="0" applyAlignment="0" applyProtection="0">
      <alignment vertical="center"/>
    </xf>
    <xf numFmtId="0" fontId="71" fillId="21" borderId="44" applyNumberFormat="0" applyAlignment="0" applyProtection="0">
      <alignment vertical="center"/>
    </xf>
    <xf numFmtId="0" fontId="40" fillId="21" borderId="2" applyNumberFormat="0" applyAlignment="0" applyProtection="0">
      <alignment vertical="center"/>
    </xf>
    <xf numFmtId="0" fontId="72" fillId="27" borderId="45" applyNumberFormat="0" applyAlignment="0" applyProtection="0">
      <alignment vertical="center"/>
    </xf>
    <xf numFmtId="0" fontId="73" fillId="0" borderId="46" applyNumberFormat="0" applyFill="0" applyAlignment="0" applyProtection="0">
      <alignment vertical="center"/>
    </xf>
    <xf numFmtId="0" fontId="74" fillId="0" borderId="47" applyNumberFormat="0" applyFill="0" applyAlignment="0" applyProtection="0">
      <alignment vertical="center"/>
    </xf>
    <xf numFmtId="0" fontId="75" fillId="28" borderId="0" applyNumberFormat="0" applyBorder="0" applyAlignment="0" applyProtection="0">
      <alignment vertical="center"/>
    </xf>
    <xf numFmtId="0" fontId="76" fillId="29" borderId="0" applyNumberFormat="0" applyBorder="0" applyAlignment="0" applyProtection="0">
      <alignment vertical="center"/>
    </xf>
    <xf numFmtId="0" fontId="77" fillId="30" borderId="0" applyNumberFormat="0" applyBorder="0" applyAlignment="0" applyProtection="0">
      <alignment vertical="center"/>
    </xf>
    <xf numFmtId="0" fontId="78" fillId="31" borderId="0" applyNumberFormat="0" applyBorder="0" applyAlignment="0" applyProtection="0">
      <alignment vertical="center"/>
    </xf>
    <xf numFmtId="0" fontId="79" fillId="32" borderId="0" applyNumberFormat="0" applyBorder="0" applyAlignment="0" applyProtection="0">
      <alignment vertical="center"/>
    </xf>
    <xf numFmtId="0" fontId="79" fillId="15" borderId="0" applyNumberFormat="0" applyBorder="0" applyAlignment="0" applyProtection="0">
      <alignment vertical="center"/>
    </xf>
    <xf numFmtId="0" fontId="78" fillId="33" borderId="0" applyNumberFormat="0" applyBorder="0" applyAlignment="0" applyProtection="0">
      <alignment vertical="center"/>
    </xf>
    <xf numFmtId="0" fontId="78" fillId="34" borderId="0" applyNumberFormat="0" applyBorder="0" applyAlignment="0" applyProtection="0">
      <alignment vertical="center"/>
    </xf>
    <xf numFmtId="0" fontId="79" fillId="35" borderId="0" applyNumberFormat="0" applyBorder="0" applyAlignment="0" applyProtection="0">
      <alignment vertical="center"/>
    </xf>
    <xf numFmtId="0" fontId="79" fillId="23" borderId="0" applyNumberFormat="0" applyBorder="0" applyAlignment="0" applyProtection="0">
      <alignment vertical="center"/>
    </xf>
    <xf numFmtId="0" fontId="78" fillId="36" borderId="0" applyNumberFormat="0" applyBorder="0" applyAlignment="0" applyProtection="0">
      <alignment vertical="center"/>
    </xf>
    <xf numFmtId="0" fontId="78" fillId="37" borderId="0" applyNumberFormat="0" applyBorder="0" applyAlignment="0" applyProtection="0">
      <alignment vertical="center"/>
    </xf>
    <xf numFmtId="0" fontId="79" fillId="38" borderId="0" applyNumberFormat="0" applyBorder="0" applyAlignment="0" applyProtection="0">
      <alignment vertical="center"/>
    </xf>
    <xf numFmtId="0" fontId="79" fillId="39" borderId="0" applyNumberFormat="0" applyBorder="0" applyAlignment="0" applyProtection="0">
      <alignment vertical="center"/>
    </xf>
    <xf numFmtId="0" fontId="78" fillId="7" borderId="0" applyNumberFormat="0" applyBorder="0" applyAlignment="0" applyProtection="0">
      <alignment vertical="center"/>
    </xf>
    <xf numFmtId="0" fontId="78" fillId="9" borderId="0" applyNumberFormat="0" applyBorder="0" applyAlignment="0" applyProtection="0">
      <alignment vertical="center"/>
    </xf>
    <xf numFmtId="0" fontId="79" fillId="40" borderId="0" applyNumberFormat="0" applyBorder="0" applyAlignment="0" applyProtection="0">
      <alignment vertical="center"/>
    </xf>
    <xf numFmtId="0" fontId="79" fillId="41" borderId="0" applyNumberFormat="0" applyBorder="0" applyAlignment="0" applyProtection="0">
      <alignment vertical="center"/>
    </xf>
    <xf numFmtId="0" fontId="78" fillId="16" borderId="0" applyNumberFormat="0" applyBorder="0" applyAlignment="0" applyProtection="0">
      <alignment vertical="center"/>
    </xf>
    <xf numFmtId="0" fontId="78" fillId="42" borderId="0" applyNumberFormat="0" applyBorder="0" applyAlignment="0" applyProtection="0">
      <alignment vertical="center"/>
    </xf>
    <xf numFmtId="0" fontId="79" fillId="43" borderId="0" applyNumberFormat="0" applyBorder="0" applyAlignment="0" applyProtection="0">
      <alignment vertical="center"/>
    </xf>
    <xf numFmtId="0" fontId="79" fillId="44" borderId="0" applyNumberFormat="0" applyBorder="0" applyAlignment="0" applyProtection="0">
      <alignment vertical="center"/>
    </xf>
    <xf numFmtId="0" fontId="78" fillId="45" borderId="0" applyNumberFormat="0" applyBorder="0" applyAlignment="0" applyProtection="0">
      <alignment vertical="center"/>
    </xf>
    <xf numFmtId="0" fontId="78" fillId="12" borderId="0" applyNumberFormat="0" applyBorder="0" applyAlignment="0" applyProtection="0">
      <alignment vertical="center"/>
    </xf>
    <xf numFmtId="0" fontId="79" fillId="46" borderId="0" applyNumberFormat="0" applyBorder="0" applyAlignment="0" applyProtection="0">
      <alignment vertical="center"/>
    </xf>
    <xf numFmtId="0" fontId="79" fillId="10" borderId="0" applyNumberFormat="0" applyBorder="0" applyAlignment="0" applyProtection="0">
      <alignment vertical="center"/>
    </xf>
    <xf numFmtId="0" fontId="78" fillId="14" borderId="0" applyNumberFormat="0" applyBorder="0" applyAlignment="0" applyProtection="0">
      <alignment vertical="center"/>
    </xf>
    <xf numFmtId="9" fontId="33" fillId="0" borderId="0" applyFont="0" applyFill="0" applyBorder="0" applyAlignment="0" applyProtection="0"/>
    <xf numFmtId="0" fontId="33" fillId="0" borderId="0"/>
    <xf numFmtId="0" fontId="33" fillId="0" borderId="0"/>
    <xf numFmtId="0" fontId="0" fillId="0" borderId="0">
      <alignment vertical="center"/>
    </xf>
  </cellStyleXfs>
  <cellXfs count="572">
    <xf numFmtId="0" fontId="0" fillId="0" borderId="0" xfId="0">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0" xfId="0" applyBorder="1" applyAlignment="1">
      <alignment vertical="center"/>
    </xf>
    <xf numFmtId="0" fontId="1" fillId="2" borderId="2" xfId="16" applyAlignment="1">
      <alignment horizontal="center" vertical="center"/>
    </xf>
    <xf numFmtId="0" fontId="0" fillId="0" borderId="0" xfId="0" applyBorder="1" applyAlignment="1">
      <alignment horizontal="center" vertical="center"/>
    </xf>
    <xf numFmtId="0" fontId="0" fillId="0" borderId="1" xfId="0" applyBorder="1">
      <alignment vertical="center"/>
    </xf>
    <xf numFmtId="176" fontId="0" fillId="0" borderId="1" xfId="0" applyNumberFormat="1" applyBorder="1" applyAlignment="1">
      <alignment horizontal="center" vertical="center"/>
    </xf>
    <xf numFmtId="0" fontId="0" fillId="0" borderId="0" xfId="0" applyAlignment="1">
      <alignment horizontal="center" vertical="center"/>
    </xf>
    <xf numFmtId="58" fontId="0" fillId="0" borderId="1" xfId="0" applyNumberFormat="1" applyBorder="1" applyAlignment="1">
      <alignment horizontal="center" vertical="center"/>
    </xf>
    <xf numFmtId="0" fontId="0" fillId="0" borderId="0" xfId="0" applyAlignment="1">
      <alignmen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left" vertical="center" wrapText="1"/>
    </xf>
    <xf numFmtId="0" fontId="0" fillId="0" borderId="0"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left" vertical="center"/>
    </xf>
    <xf numFmtId="0" fontId="0" fillId="0" borderId="0" xfId="0" applyBorder="1" applyAlignment="1">
      <alignment horizontal="left" vertical="center"/>
    </xf>
    <xf numFmtId="0" fontId="0" fillId="0" borderId="7" xfId="0" applyBorder="1" applyAlignment="1">
      <alignment horizontal="left" vertical="center"/>
    </xf>
    <xf numFmtId="0" fontId="0" fillId="0" borderId="6" xfId="0" applyBorder="1" applyAlignment="1">
      <alignment horizontal="right" vertical="center"/>
    </xf>
    <xf numFmtId="0" fontId="0" fillId="0" borderId="0" xfId="0" applyBorder="1" applyAlignment="1">
      <alignment horizontal="right" vertical="center"/>
    </xf>
    <xf numFmtId="0" fontId="0" fillId="0" borderId="7" xfId="0" applyBorder="1" applyAlignment="1">
      <alignment horizontal="right" vertical="center"/>
    </xf>
    <xf numFmtId="31" fontId="0" fillId="0" borderId="6" xfId="0" applyNumberFormat="1" applyBorder="1" applyAlignment="1">
      <alignment horizontal="right" vertical="center"/>
    </xf>
    <xf numFmtId="31" fontId="0" fillId="0" borderId="0" xfId="0" applyNumberFormat="1" applyBorder="1" applyAlignment="1">
      <alignment horizontal="right" vertical="center"/>
    </xf>
    <xf numFmtId="31" fontId="0" fillId="0" borderId="7" xfId="0" applyNumberFormat="1" applyBorder="1" applyAlignment="1">
      <alignment horizontal="right" vertical="center"/>
    </xf>
    <xf numFmtId="31" fontId="0" fillId="0" borderId="6" xfId="0" applyNumberFormat="1" applyBorder="1" applyAlignment="1">
      <alignment horizontal="left" vertical="center"/>
    </xf>
    <xf numFmtId="31" fontId="0" fillId="0" borderId="0" xfId="0" applyNumberFormat="1" applyBorder="1" applyAlignment="1">
      <alignment horizontal="left" vertical="center"/>
    </xf>
    <xf numFmtId="31" fontId="0" fillId="0" borderId="7" xfId="0" applyNumberFormat="1" applyBorder="1" applyAlignment="1">
      <alignment horizontal="left" vertical="center"/>
    </xf>
    <xf numFmtId="31" fontId="0" fillId="0" borderId="6" xfId="0" applyNumberFormat="1" applyBorder="1" applyAlignment="1">
      <alignment horizontal="center" vertical="center"/>
    </xf>
    <xf numFmtId="31" fontId="0" fillId="0" borderId="0" xfId="0" applyNumberFormat="1" applyBorder="1" applyAlignment="1">
      <alignment horizontal="center" vertical="center"/>
    </xf>
    <xf numFmtId="31" fontId="0" fillId="0" borderId="7" xfId="0" applyNumberFormat="1" applyBorder="1" applyAlignment="1">
      <alignment horizontal="center" vertical="center"/>
    </xf>
    <xf numFmtId="31" fontId="0" fillId="0" borderId="6" xfId="0" applyNumberFormat="1" applyBorder="1" applyAlignment="1">
      <alignment horizontal="left" vertical="center" wrapText="1"/>
    </xf>
    <xf numFmtId="31" fontId="0" fillId="0" borderId="0" xfId="0" applyNumberFormat="1" applyBorder="1" applyAlignment="1">
      <alignment horizontal="left" vertical="center" wrapText="1"/>
    </xf>
    <xf numFmtId="31" fontId="0" fillId="0" borderId="7" xfId="0" applyNumberFormat="1" applyBorder="1" applyAlignment="1">
      <alignment horizontal="left" vertical="center" wrapText="1"/>
    </xf>
    <xf numFmtId="31" fontId="0" fillId="0" borderId="8" xfId="0" applyNumberFormat="1" applyBorder="1" applyAlignment="1">
      <alignment horizontal="left" vertical="center" wrapText="1"/>
    </xf>
    <xf numFmtId="31" fontId="0" fillId="0" borderId="9" xfId="0" applyNumberFormat="1" applyBorder="1" applyAlignment="1">
      <alignment horizontal="left" vertical="center" wrapText="1"/>
    </xf>
    <xf numFmtId="31" fontId="0" fillId="0" borderId="10" xfId="0" applyNumberFormat="1" applyBorder="1" applyAlignment="1">
      <alignment horizontal="left" vertical="center" wrapText="1"/>
    </xf>
    <xf numFmtId="0" fontId="0" fillId="0" borderId="0" xfId="0" applyAlignment="1">
      <alignment horizontal="left" vertical="center"/>
    </xf>
    <xf numFmtId="0" fontId="2" fillId="0" borderId="0" xfId="0" applyFont="1" applyAlignment="1">
      <alignment horizontal="center" vertical="center"/>
    </xf>
    <xf numFmtId="0" fontId="0" fillId="0" borderId="1" xfId="0" applyBorder="1" applyAlignment="1">
      <alignment horizontal="right" vertical="center"/>
    </xf>
    <xf numFmtId="2" fontId="0" fillId="3" borderId="1" xfId="0" applyNumberFormat="1" applyFill="1" applyBorder="1" applyAlignment="1">
      <alignment horizontal="center" vertical="center"/>
    </xf>
    <xf numFmtId="2"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0" fillId="0" borderId="11" xfId="0" applyBorder="1" applyAlignment="1">
      <alignment horizontal="center" vertical="center" wrapText="1"/>
    </xf>
    <xf numFmtId="10" fontId="0" fillId="0" borderId="1" xfId="0" applyNumberFormat="1"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3" borderId="1" xfId="0" applyFill="1" applyBorder="1">
      <alignment vertical="center"/>
    </xf>
    <xf numFmtId="2" fontId="0" fillId="0" borderId="1" xfId="0" applyNumberFormat="1" applyBorder="1">
      <alignment vertical="center"/>
    </xf>
    <xf numFmtId="177" fontId="0" fillId="0" borderId="1" xfId="0" applyNumberFormat="1" applyBorder="1">
      <alignment vertical="center"/>
    </xf>
    <xf numFmtId="176" fontId="0" fillId="0" borderId="1" xfId="0" applyNumberFormat="1" applyFill="1" applyBorder="1" applyAlignment="1">
      <alignment horizontal="center" vertical="center"/>
    </xf>
    <xf numFmtId="2" fontId="0" fillId="0" borderId="1" xfId="0" applyNumberFormat="1" applyFill="1" applyBorder="1" applyAlignment="1">
      <alignment horizontal="center" vertical="center"/>
    </xf>
    <xf numFmtId="178" fontId="0" fillId="0" borderId="1" xfId="0" applyNumberFormat="1" applyBorder="1" applyAlignment="1">
      <alignment horizontal="center" vertical="center"/>
    </xf>
    <xf numFmtId="0" fontId="0" fillId="0" borderId="12" xfId="0" applyFill="1" applyBorder="1" applyAlignment="1">
      <alignment horizontal="center" vertical="center"/>
    </xf>
    <xf numFmtId="10" fontId="0" fillId="0" borderId="12" xfId="0" applyNumberFormat="1" applyFill="1" applyBorder="1" applyAlignment="1">
      <alignment horizontal="center" vertical="center"/>
    </xf>
    <xf numFmtId="0" fontId="3" fillId="4" borderId="14" xfId="0" applyNumberFormat="1" applyFont="1" applyFill="1" applyBorder="1" applyAlignment="1" applyProtection="1">
      <alignment horizontal="center" vertical="center"/>
    </xf>
    <xf numFmtId="0" fontId="3" fillId="4" borderId="15" xfId="0" applyNumberFormat="1" applyFont="1" applyFill="1" applyBorder="1" applyAlignment="1" applyProtection="1">
      <alignment horizontal="center" vertical="center"/>
    </xf>
    <xf numFmtId="0" fontId="3" fillId="4" borderId="16" xfId="0" applyNumberFormat="1" applyFont="1" applyFill="1" applyBorder="1" applyAlignment="1" applyProtection="1">
      <alignment horizontal="center" vertical="center"/>
    </xf>
    <xf numFmtId="0" fontId="3" fillId="4" borderId="17" xfId="0" applyNumberFormat="1" applyFont="1" applyFill="1" applyBorder="1" applyAlignment="1" applyProtection="1">
      <alignment horizontal="center" vertical="center"/>
    </xf>
    <xf numFmtId="0" fontId="4" fillId="0" borderId="18" xfId="0" applyNumberFormat="1" applyFont="1" applyFill="1" applyBorder="1" applyAlignment="1" applyProtection="1">
      <alignment horizontal="center" vertical="center"/>
    </xf>
    <xf numFmtId="0" fontId="4" fillId="0" borderId="19" xfId="0" applyNumberFormat="1" applyFont="1" applyFill="1" applyBorder="1" applyAlignment="1" applyProtection="1">
      <alignment horizontal="center" vertical="center"/>
    </xf>
    <xf numFmtId="0" fontId="4" fillId="0" borderId="20" xfId="0" applyNumberFormat="1" applyFont="1" applyFill="1" applyBorder="1" applyAlignment="1" applyProtection="1">
      <alignment horizontal="center" vertical="center"/>
    </xf>
    <xf numFmtId="0" fontId="3" fillId="3" borderId="21" xfId="0" applyNumberFormat="1" applyFont="1" applyFill="1" applyBorder="1" applyAlignment="1" applyProtection="1">
      <alignment horizontal="center" vertical="center"/>
      <protection locked="0"/>
    </xf>
    <xf numFmtId="0" fontId="3" fillId="3" borderId="20" xfId="0" applyNumberFormat="1" applyFont="1" applyFill="1" applyBorder="1" applyAlignment="1" applyProtection="1">
      <alignment horizontal="center" vertical="center"/>
      <protection locked="0"/>
    </xf>
    <xf numFmtId="0" fontId="4" fillId="0" borderId="22" xfId="0" applyNumberFormat="1" applyFont="1" applyFill="1" applyBorder="1" applyAlignment="1" applyProtection="1">
      <alignment horizontal="right" vertical="center"/>
    </xf>
    <xf numFmtId="0" fontId="4" fillId="0" borderId="13" xfId="0" applyNumberFormat="1" applyFont="1" applyFill="1" applyBorder="1" applyAlignment="1" applyProtection="1">
      <alignment vertical="center"/>
    </xf>
    <xf numFmtId="10" fontId="4" fillId="0" borderId="13" xfId="0" applyNumberFormat="1" applyFont="1" applyFill="1" applyBorder="1" applyAlignment="1" applyProtection="1">
      <alignment vertical="center"/>
    </xf>
    <xf numFmtId="179" fontId="4" fillId="0" borderId="13" xfId="0" applyNumberFormat="1" applyFont="1" applyFill="1" applyBorder="1" applyAlignment="1" applyProtection="1">
      <alignment vertical="center"/>
      <protection hidden="1"/>
    </xf>
    <xf numFmtId="179" fontId="4" fillId="0" borderId="13" xfId="0" applyNumberFormat="1" applyFont="1" applyFill="1" applyBorder="1" applyAlignment="1" applyProtection="1">
      <alignment vertical="center"/>
    </xf>
    <xf numFmtId="0" fontId="4" fillId="0" borderId="23" xfId="0" applyNumberFormat="1" applyFont="1" applyFill="1" applyBorder="1" applyAlignment="1" applyProtection="1">
      <alignment horizontal="right" vertical="center"/>
    </xf>
    <xf numFmtId="0" fontId="4" fillId="0" borderId="1" xfId="0" applyNumberFormat="1" applyFont="1" applyFill="1" applyBorder="1" applyAlignment="1" applyProtection="1">
      <alignment vertical="center"/>
    </xf>
    <xf numFmtId="10" fontId="4" fillId="0" borderId="1" xfId="0" applyNumberFormat="1" applyFont="1" applyFill="1" applyBorder="1" applyAlignment="1" applyProtection="1">
      <alignment vertical="center"/>
    </xf>
    <xf numFmtId="179" fontId="4" fillId="0" borderId="1" xfId="0" applyNumberFormat="1" applyFont="1" applyFill="1" applyBorder="1" applyAlignment="1" applyProtection="1">
      <alignment vertical="center"/>
      <protection hidden="1"/>
    </xf>
    <xf numFmtId="179" fontId="4" fillId="0" borderId="1" xfId="0" applyNumberFormat="1" applyFont="1" applyFill="1" applyBorder="1" applyAlignment="1" applyProtection="1">
      <alignment vertical="center"/>
    </xf>
    <xf numFmtId="0" fontId="4" fillId="0" borderId="24" xfId="0" applyNumberFormat="1" applyFont="1" applyFill="1" applyBorder="1" applyAlignment="1" applyProtection="1">
      <alignment vertical="center"/>
    </xf>
    <xf numFmtId="0" fontId="4" fillId="0" borderId="11" xfId="0" applyNumberFormat="1" applyFont="1" applyFill="1" applyBorder="1" applyAlignment="1" applyProtection="1">
      <alignment vertical="center"/>
    </xf>
    <xf numFmtId="0" fontId="4" fillId="0" borderId="3" xfId="0" applyNumberFormat="1" applyFont="1" applyFill="1" applyBorder="1" applyAlignment="1" applyProtection="1">
      <alignment vertical="center"/>
    </xf>
    <xf numFmtId="179" fontId="4" fillId="5" borderId="3" xfId="0" applyNumberFormat="1" applyFont="1" applyFill="1" applyBorder="1" applyAlignment="1" applyProtection="1">
      <alignment horizontal="center" vertical="center"/>
    </xf>
    <xf numFmtId="179" fontId="4" fillId="5" borderId="5" xfId="0" applyNumberFormat="1" applyFont="1" applyFill="1" applyBorder="1" applyAlignment="1" applyProtection="1">
      <alignment horizontal="center" vertical="center"/>
    </xf>
    <xf numFmtId="0" fontId="4" fillId="0" borderId="25" xfId="0" applyNumberFormat="1" applyFont="1" applyFill="1" applyBorder="1" applyAlignment="1" applyProtection="1">
      <alignment horizontal="right" vertical="center"/>
    </xf>
    <xf numFmtId="0" fontId="4" fillId="0" borderId="26" xfId="0" applyNumberFormat="1" applyFont="1" applyFill="1" applyBorder="1" applyAlignment="1" applyProtection="1">
      <alignment vertical="center"/>
    </xf>
    <xf numFmtId="0" fontId="4" fillId="0" borderId="17" xfId="0" applyNumberFormat="1" applyFont="1" applyFill="1" applyBorder="1" applyAlignment="1" applyProtection="1">
      <alignment vertical="center"/>
    </xf>
    <xf numFmtId="0" fontId="4" fillId="0" borderId="17" xfId="0" applyNumberFormat="1" applyFont="1" applyFill="1" applyBorder="1" applyAlignment="1" applyProtection="1">
      <alignment horizontal="center" vertical="center"/>
    </xf>
    <xf numFmtId="0" fontId="4" fillId="0" borderId="16" xfId="0" applyNumberFormat="1" applyFont="1" applyFill="1" applyBorder="1" applyAlignment="1" applyProtection="1">
      <alignment horizontal="center" vertical="center"/>
    </xf>
    <xf numFmtId="0" fontId="4" fillId="0" borderId="27" xfId="0" applyNumberFormat="1" applyFont="1" applyFill="1" applyBorder="1" applyAlignment="1" applyProtection="1">
      <alignment horizontal="right" vertical="center"/>
    </xf>
    <xf numFmtId="0" fontId="4" fillId="0" borderId="28" xfId="0" applyNumberFormat="1" applyFont="1" applyFill="1" applyBorder="1" applyAlignment="1" applyProtection="1">
      <alignment vertical="center"/>
    </xf>
    <xf numFmtId="0" fontId="4" fillId="0" borderId="21" xfId="0" applyNumberFormat="1" applyFont="1" applyFill="1" applyBorder="1" applyAlignment="1" applyProtection="1">
      <alignment vertical="center"/>
    </xf>
    <xf numFmtId="0" fontId="4" fillId="0" borderId="21" xfId="0" applyNumberFormat="1" applyFont="1" applyFill="1" applyBorder="1" applyAlignment="1" applyProtection="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10" fontId="0" fillId="0" borderId="1" xfId="0" applyNumberFormat="1" applyBorder="1">
      <alignment vertical="center"/>
    </xf>
    <xf numFmtId="180" fontId="0" fillId="0" borderId="1" xfId="0" applyNumberFormat="1" applyBorder="1">
      <alignment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2" fontId="0" fillId="0" borderId="29" xfId="0" applyNumberFormat="1" applyBorder="1" applyAlignment="1">
      <alignment horizontal="center" vertical="center"/>
    </xf>
    <xf numFmtId="2" fontId="0" fillId="0" borderId="30" xfId="0" applyNumberFormat="1" applyBorder="1" applyAlignment="1">
      <alignment horizontal="center" vertical="center"/>
    </xf>
    <xf numFmtId="2" fontId="0" fillId="0" borderId="31" xfId="0" applyNumberFormat="1" applyBorder="1" applyAlignment="1">
      <alignment horizontal="center" vertical="center"/>
    </xf>
    <xf numFmtId="0" fontId="3" fillId="4" borderId="32" xfId="0" applyNumberFormat="1" applyFont="1" applyFill="1" applyBorder="1" applyAlignment="1" applyProtection="1">
      <alignment horizontal="center" vertical="center"/>
    </xf>
    <xf numFmtId="0" fontId="4" fillId="0" borderId="0" xfId="0" applyNumberFormat="1" applyFont="1" applyFill="1" applyBorder="1" applyAlignment="1" applyProtection="1">
      <alignment vertical="center"/>
    </xf>
    <xf numFmtId="2" fontId="3" fillId="3" borderId="21" xfId="0" applyNumberFormat="1" applyFont="1" applyFill="1" applyBorder="1" applyAlignment="1" applyProtection="1">
      <alignment horizontal="center" vertical="center"/>
      <protection locked="0"/>
    </xf>
    <xf numFmtId="0" fontId="3" fillId="3" borderId="33" xfId="0" applyNumberFormat="1" applyFont="1" applyFill="1" applyBorder="1" applyAlignment="1" applyProtection="1">
      <alignment horizontal="center" vertical="center"/>
      <protection locked="0"/>
    </xf>
    <xf numFmtId="179" fontId="4" fillId="0" borderId="34" xfId="0" applyNumberFormat="1" applyFont="1" applyFill="1" applyBorder="1" applyAlignment="1" applyProtection="1">
      <alignment vertical="center"/>
    </xf>
    <xf numFmtId="179" fontId="4" fillId="0" borderId="35" xfId="0" applyNumberFormat="1" applyFont="1" applyFill="1" applyBorder="1" applyAlignment="1" applyProtection="1">
      <alignment vertical="center"/>
    </xf>
    <xf numFmtId="179" fontId="4" fillId="0" borderId="29" xfId="0" applyNumberFormat="1" applyFont="1" applyFill="1" applyBorder="1" applyAlignment="1" applyProtection="1">
      <alignment vertical="center"/>
    </xf>
    <xf numFmtId="0" fontId="4" fillId="0" borderId="14" xfId="0" applyNumberFormat="1" applyFont="1" applyFill="1" applyBorder="1" applyAlignment="1" applyProtection="1">
      <alignment horizontal="center" vertical="center"/>
    </xf>
    <xf numFmtId="0" fontId="4" fillId="0" borderId="32" xfId="0" applyNumberFormat="1" applyFont="1" applyFill="1" applyBorder="1" applyAlignment="1" applyProtection="1">
      <alignment horizontal="center" vertical="center"/>
    </xf>
    <xf numFmtId="179" fontId="4" fillId="5" borderId="4" xfId="0" applyNumberFormat="1" applyFont="1" applyFill="1" applyBorder="1" applyAlignment="1" applyProtection="1">
      <alignment horizontal="center" vertical="center"/>
    </xf>
    <xf numFmtId="179" fontId="4" fillId="5" borderId="18" xfId="0" applyNumberFormat="1" applyFont="1" applyFill="1" applyBorder="1" applyAlignment="1" applyProtection="1">
      <alignment horizontal="center" vertical="center"/>
    </xf>
    <xf numFmtId="179" fontId="4" fillId="5" borderId="33" xfId="0" applyNumberFormat="1" applyFont="1" applyFill="1" applyBorder="1" applyAlignment="1" applyProtection="1">
      <alignment horizontal="center" vertical="center"/>
    </xf>
    <xf numFmtId="0" fontId="4" fillId="0" borderId="33" xfId="0" applyNumberFormat="1" applyFont="1" applyFill="1" applyBorder="1" applyAlignment="1" applyProtection="1">
      <alignment horizontal="center" vertical="center"/>
    </xf>
    <xf numFmtId="180" fontId="0" fillId="0" borderId="1" xfId="0" applyNumberFormat="1" applyBorder="1" applyAlignment="1">
      <alignment horizontal="center" vertical="center"/>
    </xf>
    <xf numFmtId="0" fontId="0" fillId="0" borderId="1" xfId="0" applyFill="1" applyBorder="1" applyAlignment="1">
      <alignment horizontal="center" vertical="center"/>
    </xf>
    <xf numFmtId="180" fontId="0" fillId="0" borderId="1" xfId="0" applyNumberFormat="1" applyFill="1" applyBorder="1" applyAlignment="1">
      <alignment horizontal="center" vertical="center"/>
    </xf>
    <xf numFmtId="0" fontId="5" fillId="0" borderId="36" xfId="0" applyNumberFormat="1" applyFont="1" applyFill="1" applyBorder="1" applyAlignment="1" applyProtection="1">
      <alignment horizontal="center" vertical="top" wrapText="1"/>
    </xf>
    <xf numFmtId="0" fontId="5" fillId="0" borderId="37" xfId="0" applyNumberFormat="1" applyFont="1" applyFill="1" applyBorder="1" applyAlignment="1" applyProtection="1">
      <alignment horizontal="left" vertical="center" wrapText="1"/>
    </xf>
    <xf numFmtId="0" fontId="5" fillId="0" borderId="38" xfId="0" applyNumberFormat="1" applyFont="1" applyFill="1" applyBorder="1" applyAlignment="1" applyProtection="1">
      <alignment horizontal="left" vertical="top" wrapText="1"/>
    </xf>
    <xf numFmtId="0" fontId="5" fillId="0" borderId="39" xfId="0" applyNumberFormat="1" applyFont="1" applyFill="1" applyBorder="1" applyAlignment="1" applyProtection="1">
      <alignment horizontal="center" vertical="center" wrapText="1"/>
    </xf>
    <xf numFmtId="0" fontId="5" fillId="0" borderId="38" xfId="0" applyNumberFormat="1" applyFont="1" applyFill="1" applyBorder="1" applyAlignment="1" applyProtection="1">
      <alignment horizontal="left" vertical="center" wrapText="1"/>
    </xf>
    <xf numFmtId="0" fontId="5" fillId="0" borderId="40" xfId="0" applyNumberFormat="1" applyFont="1" applyFill="1" applyBorder="1" applyAlignment="1" applyProtection="1">
      <alignment horizontal="lef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181" fontId="0" fillId="0" borderId="1" xfId="0" applyNumberFormat="1" applyBorder="1" applyAlignment="1">
      <alignment horizontal="center" vertical="center"/>
    </xf>
    <xf numFmtId="0" fontId="5" fillId="0" borderId="39" xfId="0" applyNumberFormat="1" applyFont="1" applyFill="1" applyBorder="1" applyAlignment="1" applyProtection="1">
      <alignment horizontal="left" vertical="center" wrapText="1"/>
    </xf>
    <xf numFmtId="0" fontId="0" fillId="0" borderId="11" xfId="0" applyFill="1" applyBorder="1" applyAlignment="1">
      <alignment horizontal="center" vertical="center"/>
    </xf>
    <xf numFmtId="0" fontId="0" fillId="0" borderId="13" xfId="0" applyFill="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1" fillId="2" borderId="2" xfId="16">
      <alignment vertical="center"/>
    </xf>
    <xf numFmtId="177"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1" fillId="2" borderId="1" xfId="16" applyBorder="1" applyAlignment="1">
      <alignment horizontal="center" vertical="center"/>
    </xf>
    <xf numFmtId="0" fontId="0" fillId="0" borderId="1" xfId="0" applyBorder="1" applyAlignment="1">
      <alignment vertical="center" wrapText="1"/>
    </xf>
    <xf numFmtId="182" fontId="0" fillId="0" borderId="1" xfId="3" applyNumberFormat="1" applyFont="1" applyBorder="1">
      <alignment vertical="center"/>
    </xf>
    <xf numFmtId="182" fontId="0" fillId="0" borderId="1" xfId="0" applyNumberFormat="1" applyBorder="1">
      <alignment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0" fillId="3" borderId="1" xfId="0" applyFill="1" applyBorder="1" applyAlignment="1">
      <alignment horizontal="center" vertical="center"/>
    </xf>
    <xf numFmtId="49" fontId="0" fillId="0" borderId="1" xfId="0" applyNumberFormat="1" applyBorder="1" applyAlignment="1">
      <alignment horizontal="center" vertical="center"/>
    </xf>
    <xf numFmtId="0" fontId="0" fillId="3" borderId="1" xfId="0" applyFill="1" applyBorder="1" applyAlignment="1">
      <alignment horizontal="center" vertical="center" wrapText="1"/>
    </xf>
    <xf numFmtId="0" fontId="0" fillId="0" borderId="1" xfId="0" applyFill="1" applyBorder="1" applyAlignment="1">
      <alignment horizontal="center" vertical="center" wrapText="1"/>
    </xf>
    <xf numFmtId="0" fontId="7" fillId="0" borderId="1" xfId="0" applyFont="1" applyBorder="1" applyAlignment="1">
      <alignment horizontal="center" vertical="center"/>
    </xf>
    <xf numFmtId="0" fontId="0" fillId="0" borderId="0" xfId="0" applyAlignment="1"/>
    <xf numFmtId="0" fontId="8" fillId="6" borderId="1" xfId="50" applyFont="1" applyFill="1" applyBorder="1" applyAlignment="1">
      <alignment horizontal="center" vertical="center"/>
    </xf>
    <xf numFmtId="0" fontId="8" fillId="6" borderId="11" xfId="50" applyFont="1" applyFill="1" applyBorder="1" applyAlignment="1">
      <alignment horizontal="center" vertical="center" wrapText="1"/>
    </xf>
    <xf numFmtId="0" fontId="8" fillId="6" borderId="1" xfId="50" applyFont="1" applyFill="1" applyBorder="1" applyAlignment="1">
      <alignment horizontal="center" vertical="center" wrapText="1"/>
    </xf>
    <xf numFmtId="0" fontId="9" fillId="6" borderId="1" xfId="50" applyFont="1" applyFill="1" applyBorder="1" applyAlignment="1">
      <alignment horizontal="center" vertical="center"/>
    </xf>
    <xf numFmtId="0" fontId="9" fillId="6" borderId="13" xfId="50" applyFont="1" applyFill="1" applyBorder="1" applyAlignment="1">
      <alignment horizontal="center" vertical="center" wrapText="1"/>
    </xf>
    <xf numFmtId="0" fontId="9" fillId="6" borderId="1" xfId="50" applyFont="1" applyFill="1" applyBorder="1" applyAlignment="1">
      <alignment horizontal="center" vertical="center" wrapText="1"/>
    </xf>
    <xf numFmtId="0" fontId="10" fillId="0" borderId="1" xfId="50" applyFont="1" applyBorder="1" applyAlignment="1">
      <alignment horizontal="center" vertical="center"/>
    </xf>
    <xf numFmtId="0" fontId="11" fillId="0" borderId="1" xfId="50" applyFont="1" applyBorder="1" applyAlignment="1">
      <alignment horizontal="left" vertical="center"/>
    </xf>
    <xf numFmtId="181" fontId="10" fillId="7" borderId="1" xfId="50" applyNumberFormat="1" applyFont="1" applyFill="1" applyBorder="1" applyAlignment="1">
      <alignment horizontal="center" vertical="center"/>
    </xf>
    <xf numFmtId="178" fontId="10" fillId="0" borderId="1" xfId="50" applyNumberFormat="1" applyFont="1" applyBorder="1" applyAlignment="1">
      <alignment horizontal="center" vertical="center"/>
    </xf>
    <xf numFmtId="181" fontId="10" fillId="0" borderId="1" xfId="50" applyNumberFormat="1" applyFont="1" applyBorder="1" applyAlignment="1">
      <alignment horizontal="center" vertical="center"/>
    </xf>
    <xf numFmtId="178" fontId="10" fillId="0" borderId="1" xfId="50" applyNumberFormat="1" applyFont="1" applyBorder="1" applyAlignment="1">
      <alignment horizontal="right" vertical="center"/>
    </xf>
    <xf numFmtId="0" fontId="11" fillId="0" borderId="1" xfId="50" applyFont="1" applyBorder="1" applyAlignment="1">
      <alignment horizontal="left" vertical="center" wrapText="1"/>
    </xf>
    <xf numFmtId="0" fontId="12" fillId="0" borderId="3" xfId="0" applyFont="1" applyFill="1" applyBorder="1" applyAlignment="1">
      <alignment horizontal="center" vertical="center"/>
    </xf>
    <xf numFmtId="0" fontId="12" fillId="0" borderId="4" xfId="0" applyFont="1" applyFill="1" applyBorder="1" applyAlignment="1">
      <alignment horizontal="center" vertical="center"/>
    </xf>
    <xf numFmtId="0" fontId="13" fillId="0" borderId="6" xfId="0" applyFont="1" applyFill="1" applyBorder="1" applyAlignment="1">
      <alignment vertical="center"/>
    </xf>
    <xf numFmtId="183" fontId="13" fillId="0" borderId="0" xfId="1" applyNumberFormat="1" applyFont="1" applyFill="1" applyBorder="1" applyAlignment="1">
      <alignment horizontal="center" vertical="center"/>
    </xf>
    <xf numFmtId="0" fontId="14" fillId="0" borderId="1" xfId="0" applyFont="1" applyFill="1" applyBorder="1" applyAlignment="1">
      <alignment vertical="center"/>
    </xf>
    <xf numFmtId="183" fontId="13" fillId="0" borderId="1" xfId="1" applyNumberFormat="1" applyFont="1" applyFill="1" applyBorder="1" applyAlignment="1">
      <alignment horizontal="center" vertical="center"/>
    </xf>
    <xf numFmtId="0" fontId="13" fillId="0" borderId="1" xfId="0" applyFont="1" applyFill="1" applyBorder="1" applyAlignment="1">
      <alignment vertical="center"/>
    </xf>
    <xf numFmtId="183" fontId="15" fillId="0" borderId="1" xfId="1" applyNumberFormat="1" applyFont="1" applyFill="1" applyBorder="1" applyAlignment="1">
      <alignment horizontal="center" vertical="center"/>
    </xf>
    <xf numFmtId="0" fontId="12" fillId="0" borderId="5" xfId="0" applyFont="1" applyFill="1" applyBorder="1" applyAlignment="1">
      <alignment horizontal="center" vertical="center"/>
    </xf>
    <xf numFmtId="183" fontId="13" fillId="0" borderId="7" xfId="1" applyNumberFormat="1" applyFont="1" applyFill="1" applyBorder="1" applyAlignment="1">
      <alignment vertical="center"/>
    </xf>
    <xf numFmtId="0" fontId="16" fillId="0" borderId="0" xfId="0" applyFont="1" applyAlignment="1"/>
    <xf numFmtId="0" fontId="16" fillId="0" borderId="0" xfId="0" applyFont="1" applyAlignment="1">
      <alignment horizontal="center" vertical="center"/>
    </xf>
    <xf numFmtId="0" fontId="16" fillId="0" borderId="0" xfId="0" applyFont="1" applyAlignment="1">
      <alignment horizontal="center" vertical="center" wrapText="1"/>
    </xf>
    <xf numFmtId="0" fontId="17" fillId="8" borderId="11" xfId="0" applyFont="1" applyFill="1" applyBorder="1" applyAlignment="1">
      <alignment horizontal="center" vertical="center"/>
    </xf>
    <xf numFmtId="0" fontId="17" fillId="8" borderId="29" xfId="0" applyFont="1" applyFill="1" applyBorder="1" applyAlignment="1">
      <alignment horizontal="center" vertical="center"/>
    </xf>
    <xf numFmtId="0" fontId="17" fillId="8" borderId="30" xfId="0" applyFont="1" applyFill="1" applyBorder="1" applyAlignment="1">
      <alignment horizontal="center" vertical="center"/>
    </xf>
    <xf numFmtId="0" fontId="17" fillId="8" borderId="12" xfId="0" applyFont="1" applyFill="1" applyBorder="1" applyAlignment="1">
      <alignment horizontal="center" vertical="center"/>
    </xf>
    <xf numFmtId="0" fontId="17" fillId="8" borderId="31" xfId="0" applyFont="1" applyFill="1" applyBorder="1" applyAlignment="1">
      <alignment horizontal="center" vertical="center"/>
    </xf>
    <xf numFmtId="0" fontId="17" fillId="8" borderId="1" xfId="0" applyFont="1" applyFill="1" applyBorder="1" applyAlignment="1">
      <alignment horizontal="center" vertical="center" wrapText="1"/>
    </xf>
    <xf numFmtId="0" fontId="17" fillId="8" borderId="11" xfId="0" applyFont="1" applyFill="1" applyBorder="1" applyAlignment="1">
      <alignment horizontal="center" vertical="center" wrapText="1"/>
    </xf>
    <xf numFmtId="0" fontId="17" fillId="8" borderId="1" xfId="0" applyFont="1" applyFill="1" applyBorder="1" applyAlignment="1">
      <alignment horizontal="center" vertical="center"/>
    </xf>
    <xf numFmtId="0" fontId="17" fillId="8" borderId="13" xfId="0" applyFont="1" applyFill="1" applyBorder="1" applyAlignment="1">
      <alignment horizontal="center" vertical="center"/>
    </xf>
    <xf numFmtId="9" fontId="17" fillId="8" borderId="1" xfId="3" applyNumberFormat="1" applyFont="1" applyFill="1" applyBorder="1" applyAlignment="1">
      <alignment horizontal="center" vertical="center" wrapText="1"/>
    </xf>
    <xf numFmtId="9" fontId="17" fillId="8" borderId="1" xfId="3" applyNumberFormat="1" applyFont="1" applyFill="1" applyBorder="1" applyAlignment="1">
      <alignment horizontal="center" vertical="center"/>
    </xf>
    <xf numFmtId="0" fontId="17" fillId="8" borderId="13" xfId="0" applyFont="1" applyFill="1" applyBorder="1" applyAlignment="1">
      <alignment horizontal="center" vertical="center" wrapText="1"/>
    </xf>
    <xf numFmtId="0" fontId="16" fillId="0" borderId="1" xfId="0" applyFont="1" applyBorder="1" applyAlignment="1">
      <alignment horizontal="center" vertical="center"/>
    </xf>
    <xf numFmtId="43" fontId="16" fillId="0" borderId="1" xfId="2" applyNumberFormat="1" applyFont="1" applyBorder="1" applyAlignment="1">
      <alignment horizontal="center" vertical="center"/>
    </xf>
    <xf numFmtId="0" fontId="17" fillId="0" borderId="1" xfId="0" applyFont="1" applyBorder="1" applyAlignment="1">
      <alignment horizontal="center" vertical="center"/>
    </xf>
    <xf numFmtId="43" fontId="17" fillId="0" borderId="1" xfId="2" applyNumberFormat="1" applyFont="1" applyBorder="1" applyAlignment="1">
      <alignment horizontal="center" vertical="center"/>
    </xf>
    <xf numFmtId="0" fontId="17" fillId="9" borderId="8" xfId="0" applyFont="1" applyFill="1" applyBorder="1" applyAlignment="1">
      <alignment horizontal="center" vertical="center"/>
    </xf>
    <xf numFmtId="0" fontId="2" fillId="8" borderId="11" xfId="0" applyFont="1" applyFill="1" applyBorder="1" applyAlignment="1">
      <alignment horizontal="center" vertical="center" wrapText="1"/>
    </xf>
    <xf numFmtId="0" fontId="16" fillId="0" borderId="31" xfId="0" applyFont="1" applyBorder="1" applyAlignment="1">
      <alignment horizontal="center" vertical="center"/>
    </xf>
    <xf numFmtId="0" fontId="2" fillId="8" borderId="13" xfId="0" applyFont="1" applyFill="1" applyBorder="1" applyAlignment="1">
      <alignment horizontal="center" vertical="center" wrapText="1"/>
    </xf>
    <xf numFmtId="43" fontId="16" fillId="0" borderId="1" xfId="2" applyNumberFormat="1" applyFont="1" applyBorder="1" applyAlignment="1">
      <alignment horizontal="center" vertical="center" wrapText="1"/>
    </xf>
    <xf numFmtId="0" fontId="17" fillId="0" borderId="31" xfId="0" applyFont="1" applyBorder="1" applyAlignment="1">
      <alignment horizontal="center" vertical="center"/>
    </xf>
    <xf numFmtId="0" fontId="17" fillId="9" borderId="9" xfId="0" applyFont="1" applyFill="1" applyBorder="1" applyAlignment="1">
      <alignment horizontal="center" vertical="center"/>
    </xf>
    <xf numFmtId="184" fontId="16" fillId="0" borderId="1" xfId="0" applyNumberFormat="1" applyFont="1" applyBorder="1" applyAlignment="1">
      <alignment horizontal="center" vertical="center"/>
    </xf>
    <xf numFmtId="9" fontId="16" fillId="0" borderId="1" xfId="0" applyNumberFormat="1" applyFont="1" applyBorder="1" applyAlignment="1">
      <alignment horizontal="center" vertical="center"/>
    </xf>
    <xf numFmtId="2" fontId="16" fillId="0" borderId="1" xfId="0" applyNumberFormat="1" applyFont="1" applyBorder="1" applyAlignment="1">
      <alignment horizontal="center" vertical="center"/>
    </xf>
    <xf numFmtId="184" fontId="17" fillId="0" borderId="1" xfId="0" applyNumberFormat="1" applyFont="1" applyBorder="1" applyAlignment="1">
      <alignment horizontal="center" vertical="center"/>
    </xf>
    <xf numFmtId="2" fontId="17"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8" fillId="0" borderId="29" xfId="0" applyFont="1" applyBorder="1" applyAlignment="1">
      <alignment horizontal="center" vertical="center"/>
    </xf>
    <xf numFmtId="0" fontId="18" fillId="0" borderId="31" xfId="0" applyFont="1" applyBorder="1" applyAlignment="1">
      <alignment vertical="center"/>
    </xf>
    <xf numFmtId="9" fontId="18" fillId="0" borderId="1" xfId="0" applyNumberFormat="1" applyFont="1" applyBorder="1" applyAlignment="1">
      <alignment horizontal="center" vertical="center"/>
    </xf>
    <xf numFmtId="0" fontId="19" fillId="0" borderId="1" xfId="0" applyFont="1" applyBorder="1" applyAlignment="1">
      <alignment horizontal="center" vertical="center"/>
    </xf>
    <xf numFmtId="43" fontId="19" fillId="0" borderId="1" xfId="0" applyNumberFormat="1" applyFont="1" applyBorder="1" applyAlignment="1">
      <alignment horizontal="center" vertical="center"/>
    </xf>
    <xf numFmtId="184" fontId="1" fillId="2" borderId="2" xfId="16" applyNumberFormat="1" applyAlignment="1">
      <alignment horizontal="center" vertical="center"/>
    </xf>
    <xf numFmtId="184" fontId="18" fillId="0" borderId="1" xfId="0" applyNumberFormat="1" applyFont="1" applyBorder="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0" fontId="20" fillId="0" borderId="0" xfId="0" applyFont="1">
      <alignment vertical="center"/>
    </xf>
    <xf numFmtId="0" fontId="18" fillId="0" borderId="29" xfId="0" applyFont="1" applyBorder="1" applyAlignment="1">
      <alignment horizontal="center" vertical="center" wrapText="1"/>
    </xf>
    <xf numFmtId="0" fontId="18" fillId="0" borderId="1" xfId="0" applyFont="1" applyBorder="1" applyAlignment="1">
      <alignment horizontal="center" vertical="center" wrapText="1"/>
    </xf>
    <xf numFmtId="0" fontId="0" fillId="0" borderId="0" xfId="0" applyAlignment="1">
      <alignment horizontal="center"/>
    </xf>
    <xf numFmtId="0" fontId="21" fillId="8" borderId="11" xfId="0" applyFont="1" applyFill="1" applyBorder="1" applyAlignment="1">
      <alignment horizontal="center" vertical="center"/>
    </xf>
    <xf numFmtId="0" fontId="21" fillId="8" borderId="1" xfId="0" applyFont="1" applyFill="1" applyBorder="1" applyAlignment="1">
      <alignment horizontal="center" vertical="center"/>
    </xf>
    <xf numFmtId="0" fontId="21" fillId="8" borderId="29" xfId="0" applyFont="1" applyFill="1" applyBorder="1" applyAlignment="1">
      <alignment horizontal="center" vertical="center"/>
    </xf>
    <xf numFmtId="0" fontId="21" fillId="8" borderId="12" xfId="0" applyFont="1" applyFill="1" applyBorder="1" applyAlignment="1">
      <alignment horizontal="center" vertical="center"/>
    </xf>
    <xf numFmtId="0" fontId="21" fillId="8" borderId="11" xfId="0" applyFont="1" applyFill="1" applyBorder="1" applyAlignment="1">
      <alignment horizontal="center" vertical="center" wrapText="1"/>
    </xf>
    <xf numFmtId="0" fontId="21" fillId="8" borderId="11" xfId="50" applyFont="1" applyFill="1" applyBorder="1" applyAlignment="1">
      <alignment horizontal="center" vertical="center" wrapText="1"/>
    </xf>
    <xf numFmtId="0" fontId="21" fillId="8" borderId="13" xfId="0" applyFont="1" applyFill="1" applyBorder="1" applyAlignment="1">
      <alignment horizontal="center" vertical="center"/>
    </xf>
    <xf numFmtId="0" fontId="21" fillId="8" borderId="13" xfId="0" applyFont="1" applyFill="1" applyBorder="1" applyAlignment="1">
      <alignment horizontal="center" vertical="center" wrapText="1"/>
    </xf>
    <xf numFmtId="0" fontId="21" fillId="8" borderId="13" xfId="50" applyFont="1" applyFill="1" applyBorder="1" applyAlignment="1">
      <alignment horizontal="center" vertical="center" wrapText="1"/>
    </xf>
    <xf numFmtId="0" fontId="22" fillId="0" borderId="1" xfId="0" applyFont="1" applyBorder="1" applyAlignment="1">
      <alignment vertical="center"/>
    </xf>
    <xf numFmtId="0" fontId="22" fillId="0" borderId="1" xfId="0" applyFont="1" applyBorder="1" applyAlignment="1">
      <alignment horizontal="center" vertical="center"/>
    </xf>
    <xf numFmtId="0" fontId="22" fillId="0" borderId="11" xfId="0" applyFont="1" applyBorder="1" applyAlignment="1">
      <alignment horizontal="center" vertical="center"/>
    </xf>
    <xf numFmtId="9" fontId="22" fillId="0" borderId="1" xfId="0" applyNumberFormat="1" applyFont="1" applyBorder="1" applyAlignment="1">
      <alignment horizontal="center" vertical="center"/>
    </xf>
    <xf numFmtId="184" fontId="22" fillId="0" borderId="1" xfId="0" applyNumberFormat="1" applyFont="1" applyBorder="1" applyAlignment="1">
      <alignment horizontal="center" vertical="center"/>
    </xf>
    <xf numFmtId="9" fontId="22" fillId="0" borderId="1" xfId="3" applyNumberFormat="1" applyFont="1" applyBorder="1" applyAlignment="1">
      <alignment horizontal="center"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1" fillId="0" borderId="1" xfId="0" applyFont="1" applyBorder="1" applyAlignment="1">
      <alignment horizontal="center" vertical="center"/>
    </xf>
    <xf numFmtId="184" fontId="21" fillId="0" borderId="1" xfId="0" applyNumberFormat="1" applyFont="1" applyBorder="1" applyAlignment="1">
      <alignment horizontal="center" vertical="center"/>
    </xf>
    <xf numFmtId="0" fontId="23" fillId="0" borderId="0" xfId="0" applyFont="1" applyAlignment="1"/>
    <xf numFmtId="0" fontId="21" fillId="8" borderId="30" xfId="0" applyFont="1" applyFill="1" applyBorder="1" applyAlignment="1">
      <alignment horizontal="center" vertical="center"/>
    </xf>
    <xf numFmtId="9" fontId="22" fillId="0" borderId="1" xfId="3" applyFont="1" applyBorder="1" applyAlignment="1">
      <alignment horizontal="center" vertical="center"/>
    </xf>
    <xf numFmtId="0" fontId="21" fillId="8" borderId="31" xfId="0" applyFont="1" applyFill="1" applyBorder="1" applyAlignment="1">
      <alignment horizontal="center" vertical="center"/>
    </xf>
    <xf numFmtId="0" fontId="21" fillId="8" borderId="1" xfId="50" applyFont="1" applyFill="1" applyBorder="1" applyAlignment="1">
      <alignment horizontal="center" vertical="center"/>
    </xf>
    <xf numFmtId="0" fontId="21" fillId="8" borderId="1" xfId="0" applyFont="1" applyFill="1" applyBorder="1" applyAlignment="1">
      <alignment horizontal="center" vertical="center" wrapText="1"/>
    </xf>
    <xf numFmtId="0" fontId="24" fillId="0" borderId="1" xfId="0" applyFont="1" applyBorder="1" applyAlignment="1">
      <alignment horizontal="left" vertical="center"/>
    </xf>
    <xf numFmtId="0" fontId="22" fillId="0" borderId="11" xfId="0" applyFont="1" applyBorder="1" applyAlignment="1">
      <alignment horizontal="center" vertical="center" textRotation="255"/>
    </xf>
    <xf numFmtId="0" fontId="22" fillId="0" borderId="11" xfId="0" applyFont="1" applyBorder="1" applyAlignment="1">
      <alignment vertical="center"/>
    </xf>
    <xf numFmtId="0" fontId="22" fillId="0" borderId="13" xfId="0" applyFont="1" applyBorder="1" applyAlignment="1">
      <alignment horizontal="center" vertical="center" textRotation="255"/>
    </xf>
    <xf numFmtId="0" fontId="22" fillId="10" borderId="1" xfId="0" applyFont="1" applyFill="1" applyBorder="1" applyAlignment="1">
      <alignment horizontal="center" vertical="center"/>
    </xf>
    <xf numFmtId="0" fontId="22" fillId="0" borderId="1" xfId="0" applyFont="1" applyBorder="1" applyAlignment="1">
      <alignment vertical="center" textRotation="255"/>
    </xf>
    <xf numFmtId="43" fontId="22" fillId="0" borderId="1" xfId="0" applyNumberFormat="1" applyFont="1" applyBorder="1" applyAlignment="1">
      <alignment horizontal="center" vertical="center"/>
    </xf>
    <xf numFmtId="184" fontId="22" fillId="10" borderId="1" xfId="0" applyNumberFormat="1" applyFont="1" applyFill="1" applyBorder="1" applyAlignment="1">
      <alignment horizontal="center" vertical="center"/>
    </xf>
    <xf numFmtId="0" fontId="22" fillId="0" borderId="12" xfId="0" applyFont="1" applyBorder="1" applyAlignment="1">
      <alignment horizontal="center" vertical="center" textRotation="255"/>
    </xf>
    <xf numFmtId="184" fontId="21" fillId="10" borderId="1" xfId="0" applyNumberFormat="1" applyFont="1" applyFill="1" applyBorder="1" applyAlignment="1">
      <alignment horizontal="center" vertical="center"/>
    </xf>
    <xf numFmtId="0" fontId="0" fillId="0" borderId="1" xfId="0" applyBorder="1" applyAlignment="1">
      <alignment horizontal="center"/>
    </xf>
    <xf numFmtId="0" fontId="25" fillId="0" borderId="1" xfId="0" applyFont="1" applyBorder="1" applyAlignment="1">
      <alignment horizontal="center" vertical="center"/>
    </xf>
    <xf numFmtId="184" fontId="26" fillId="0" borderId="1" xfId="0" applyNumberFormat="1" applyFont="1" applyBorder="1" applyAlignment="1">
      <alignment horizontal="center" vertical="center"/>
    </xf>
    <xf numFmtId="0" fontId="26" fillId="0" borderId="1" xfId="0" applyFont="1" applyBorder="1" applyAlignment="1">
      <alignment horizontal="center" vertical="center"/>
    </xf>
    <xf numFmtId="9" fontId="24" fillId="7" borderId="1" xfId="0" applyNumberFormat="1" applyFont="1" applyFill="1" applyBorder="1" applyAlignment="1">
      <alignment horizontal="center" vertical="center"/>
    </xf>
    <xf numFmtId="0" fontId="22" fillId="0" borderId="9" xfId="0" applyFont="1" applyBorder="1" applyAlignment="1">
      <alignment horizontal="right" vertical="center"/>
    </xf>
    <xf numFmtId="0" fontId="19" fillId="0" borderId="0" xfId="0" applyFont="1" applyAlignment="1">
      <alignment horizontal="center" wrapText="1"/>
    </xf>
    <xf numFmtId="185" fontId="22" fillId="0" borderId="1" xfId="0" applyNumberFormat="1" applyFont="1" applyBorder="1" applyAlignment="1">
      <alignment horizontal="center" vertical="center"/>
    </xf>
    <xf numFmtId="184" fontId="22" fillId="11" borderId="1" xfId="0" applyNumberFormat="1" applyFont="1" applyFill="1" applyBorder="1" applyAlignment="1">
      <alignment horizontal="center" vertical="center"/>
    </xf>
    <xf numFmtId="184" fontId="0" fillId="0" borderId="0" xfId="0" applyNumberFormat="1" applyAlignment="1"/>
    <xf numFmtId="0" fontId="2" fillId="0" borderId="0" xfId="0" applyFont="1" applyAlignment="1"/>
    <xf numFmtId="0" fontId="0" fillId="0" borderId="1" xfId="0" applyBorder="1" applyAlignment="1">
      <alignment wrapText="1"/>
    </xf>
    <xf numFmtId="0" fontId="0" fillId="0" borderId="1" xfId="0" applyBorder="1" applyAlignment="1">
      <alignment horizontal="center" wrapText="1"/>
    </xf>
    <xf numFmtId="184" fontId="0" fillId="0" borderId="1" xfId="0" applyNumberFormat="1" applyBorder="1" applyAlignment="1">
      <alignment horizontal="center"/>
    </xf>
    <xf numFmtId="0" fontId="0" fillId="0" borderId="1" xfId="0" applyBorder="1" applyAlignment="1"/>
    <xf numFmtId="184" fontId="0" fillId="0" borderId="1" xfId="0" applyNumberFormat="1" applyBorder="1" applyAlignment="1"/>
    <xf numFmtId="0" fontId="0" fillId="12" borderId="1" xfId="0" applyFill="1" applyBorder="1" applyAlignment="1">
      <alignment horizontal="center"/>
    </xf>
    <xf numFmtId="0" fontId="0" fillId="0" borderId="0" xfId="0" applyAlignment="1">
      <alignment wrapText="1"/>
    </xf>
    <xf numFmtId="0" fontId="2" fillId="0" borderId="0" xfId="0" applyFont="1">
      <alignment vertical="center"/>
    </xf>
    <xf numFmtId="0" fontId="0" fillId="0" borderId="9" xfId="0" applyBorder="1" applyAlignment="1">
      <alignment horizontal="right" vertical="center"/>
    </xf>
    <xf numFmtId="0" fontId="2" fillId="8" borderId="11" xfId="0" applyFont="1" applyFill="1" applyBorder="1" applyAlignment="1">
      <alignment horizontal="center" vertical="center"/>
    </xf>
    <xf numFmtId="0" fontId="2" fillId="8" borderId="13" xfId="0" applyFont="1" applyFill="1" applyBorder="1" applyAlignment="1">
      <alignment horizontal="center" vertical="center"/>
    </xf>
    <xf numFmtId="184" fontId="0" fillId="0" borderId="1" xfId="0" applyNumberFormat="1" applyBorder="1" applyAlignment="1">
      <alignment horizontal="center" vertical="center"/>
    </xf>
    <xf numFmtId="0" fontId="2" fillId="0" borderId="1" xfId="0" applyFont="1" applyBorder="1" applyAlignment="1">
      <alignment horizontal="center" vertical="center"/>
    </xf>
    <xf numFmtId="2" fontId="2" fillId="0" borderId="1" xfId="0" applyNumberFormat="1" applyFont="1" applyBorder="1" applyAlignment="1">
      <alignment horizontal="center" vertical="center"/>
    </xf>
    <xf numFmtId="0" fontId="27" fillId="0" borderId="0" xfId="0" applyFont="1" applyAlignment="1" applyProtection="1">
      <alignment horizontal="center" vertical="center"/>
      <protection locked="0"/>
    </xf>
    <xf numFmtId="0" fontId="27" fillId="0" borderId="0" xfId="0" applyFont="1" applyProtection="1">
      <alignment vertical="center"/>
      <protection locked="0"/>
    </xf>
    <xf numFmtId="0" fontId="28" fillId="0" borderId="0" xfId="0" applyFont="1" applyProtection="1">
      <alignment vertical="center"/>
      <protection locked="0"/>
    </xf>
    <xf numFmtId="0" fontId="29" fillId="3" borderId="0" xfId="0" applyFont="1" applyFill="1" applyAlignment="1" applyProtection="1">
      <alignment horizontal="center" vertical="center"/>
      <protection locked="0"/>
    </xf>
    <xf numFmtId="0" fontId="29" fillId="13" borderId="0" xfId="0" applyFont="1" applyFill="1" applyAlignment="1" applyProtection="1">
      <alignment horizontal="center" vertical="center"/>
      <protection locked="0"/>
    </xf>
    <xf numFmtId="0" fontId="29" fillId="0" borderId="1" xfId="0" applyFont="1" applyBorder="1" applyProtection="1">
      <alignment vertical="center"/>
      <protection locked="0"/>
    </xf>
    <xf numFmtId="0" fontId="27" fillId="3" borderId="1" xfId="0" applyFont="1" applyFill="1" applyBorder="1" applyProtection="1">
      <alignment vertical="center"/>
      <protection locked="0"/>
    </xf>
    <xf numFmtId="0" fontId="27" fillId="3" borderId="1" xfId="0" applyFont="1" applyFill="1" applyBorder="1" applyProtection="1">
      <alignment vertical="center"/>
    </xf>
    <xf numFmtId="0" fontId="29" fillId="0" borderId="0" xfId="0" applyFont="1" applyProtection="1">
      <alignment vertical="center"/>
      <protection locked="0"/>
    </xf>
    <xf numFmtId="31" fontId="27" fillId="3" borderId="1" xfId="0" applyNumberFormat="1" applyFont="1" applyFill="1" applyBorder="1" applyProtection="1">
      <alignment vertical="center"/>
      <protection locked="0"/>
    </xf>
    <xf numFmtId="31" fontId="27" fillId="3" borderId="1" xfId="0" applyNumberFormat="1" applyFont="1" applyFill="1" applyBorder="1" applyProtection="1">
      <alignment vertical="center"/>
    </xf>
    <xf numFmtId="43" fontId="27" fillId="13" borderId="0" xfId="1" applyFont="1" applyFill="1" applyAlignment="1" applyProtection="1">
      <alignment vertical="center"/>
    </xf>
    <xf numFmtId="0" fontId="29" fillId="0" borderId="0" xfId="0" applyFont="1" applyAlignment="1" applyProtection="1">
      <alignment vertical="center" wrapText="1"/>
      <protection locked="0"/>
    </xf>
    <xf numFmtId="0" fontId="27" fillId="0" borderId="0" xfId="0" applyFont="1" applyAlignment="1" applyProtection="1">
      <alignment horizontal="left" vertical="center" wrapText="1"/>
      <protection locked="0"/>
    </xf>
    <xf numFmtId="0" fontId="29" fillId="0" borderId="1" xfId="0" applyFont="1" applyBorder="1" applyAlignment="1" applyProtection="1">
      <alignment horizontal="left" vertical="center"/>
      <protection locked="0"/>
    </xf>
    <xf numFmtId="2" fontId="27" fillId="3" borderId="1" xfId="0" applyNumberFormat="1" applyFont="1" applyFill="1" applyBorder="1" applyProtection="1">
      <alignment vertical="center"/>
      <protection locked="0"/>
    </xf>
    <xf numFmtId="43" fontId="29" fillId="13" borderId="0" xfId="0" applyNumberFormat="1" applyFont="1" applyFill="1">
      <alignment vertical="center"/>
    </xf>
    <xf numFmtId="0" fontId="29" fillId="0" borderId="0" xfId="0" applyFont="1" applyAlignment="1" applyProtection="1">
      <alignment horizontal="left" vertical="center" wrapText="1"/>
      <protection locked="0"/>
    </xf>
    <xf numFmtId="0" fontId="30" fillId="0" borderId="0" xfId="0" applyFont="1" applyProtection="1">
      <alignment vertical="center"/>
      <protection locked="0"/>
    </xf>
    <xf numFmtId="43" fontId="27" fillId="0" borderId="1" xfId="1" applyFont="1" applyFill="1" applyBorder="1" applyAlignment="1" applyProtection="1">
      <alignment vertical="center"/>
    </xf>
    <xf numFmtId="43" fontId="27" fillId="13" borderId="0" xfId="0" applyNumberFormat="1" applyFont="1" applyFill="1">
      <alignment vertical="center"/>
    </xf>
    <xf numFmtId="0" fontId="29" fillId="0" borderId="1" xfId="0" applyFont="1" applyBorder="1" applyAlignment="1" applyProtection="1">
      <alignment horizontal="center" vertical="center"/>
      <protection locked="0"/>
    </xf>
    <xf numFmtId="0" fontId="27" fillId="0" borderId="1" xfId="0" applyFont="1" applyBorder="1" applyAlignment="1" applyProtection="1">
      <alignment horizontal="center" vertical="center"/>
      <protection locked="0"/>
    </xf>
    <xf numFmtId="43" fontId="29" fillId="0" borderId="1" xfId="1" applyFont="1" applyBorder="1" applyAlignment="1" applyProtection="1">
      <alignment horizontal="center" vertical="center"/>
    </xf>
    <xf numFmtId="0" fontId="29" fillId="3" borderId="1" xfId="0" applyFont="1" applyFill="1" applyBorder="1" applyAlignment="1" applyProtection="1">
      <alignment horizontal="center" vertical="center"/>
      <protection locked="0"/>
    </xf>
    <xf numFmtId="2" fontId="27" fillId="3" borderId="1" xfId="0" applyNumberFormat="1" applyFont="1" applyFill="1" applyBorder="1" applyAlignment="1" applyProtection="1">
      <alignment horizontal="center" vertical="center"/>
      <protection locked="0"/>
    </xf>
    <xf numFmtId="0" fontId="27" fillId="3" borderId="1" xfId="0" applyFont="1" applyFill="1" applyBorder="1" applyAlignment="1" applyProtection="1">
      <alignment horizontal="center" vertical="center"/>
      <protection locked="0"/>
    </xf>
    <xf numFmtId="43" fontId="27" fillId="0" borderId="1" xfId="1" applyFont="1" applyBorder="1" applyAlignment="1" applyProtection="1">
      <alignment vertical="center"/>
    </xf>
    <xf numFmtId="43" fontId="27" fillId="0" borderId="0" xfId="1" applyFont="1" applyBorder="1" applyAlignment="1" applyProtection="1">
      <alignment vertical="center"/>
      <protection locked="0"/>
    </xf>
    <xf numFmtId="0" fontId="27" fillId="13" borderId="0" xfId="0" applyFont="1" applyFill="1">
      <alignment vertical="center"/>
    </xf>
    <xf numFmtId="43" fontId="27" fillId="3" borderId="1" xfId="1" applyFont="1" applyFill="1" applyBorder="1" applyAlignment="1" applyProtection="1">
      <alignment vertical="center"/>
      <protection locked="0"/>
    </xf>
    <xf numFmtId="0" fontId="27" fillId="3" borderId="1" xfId="0" applyFont="1" applyFill="1" applyBorder="1" applyAlignment="1" applyProtection="1">
      <alignment vertical="center"/>
      <protection locked="0"/>
    </xf>
    <xf numFmtId="43" fontId="27" fillId="0" borderId="1" xfId="0" applyNumberFormat="1" applyFont="1" applyBorder="1">
      <alignment vertical="center"/>
    </xf>
    <xf numFmtId="43" fontId="27" fillId="0" borderId="1" xfId="0" applyNumberFormat="1" applyFont="1" applyBorder="1" applyAlignment="1">
      <alignment vertical="center"/>
    </xf>
    <xf numFmtId="0" fontId="28" fillId="0" borderId="4" xfId="0" applyFont="1" applyBorder="1" applyAlignment="1" applyProtection="1">
      <alignment horizontal="left" vertical="center" wrapText="1"/>
      <protection locked="0"/>
    </xf>
    <xf numFmtId="43" fontId="27" fillId="13" borderId="0" xfId="0" applyNumberFormat="1" applyFont="1" applyFill="1" applyAlignment="1">
      <alignment vertical="center"/>
    </xf>
    <xf numFmtId="43" fontId="27" fillId="0" borderId="0" xfId="0" applyNumberFormat="1" applyFont="1" applyProtection="1">
      <alignment vertical="center"/>
      <protection locked="0"/>
    </xf>
    <xf numFmtId="43" fontId="27" fillId="0" borderId="0" xfId="1" applyFont="1" applyAlignment="1" applyProtection="1">
      <alignment vertical="center"/>
      <protection locked="0"/>
    </xf>
    <xf numFmtId="0" fontId="0" fillId="0" borderId="1" xfId="0" applyFont="1" applyBorder="1" applyAlignment="1">
      <alignment horizontal="center" vertical="center"/>
    </xf>
    <xf numFmtId="186" fontId="31" fillId="2" borderId="1" xfId="16" applyNumberFormat="1" applyFont="1" applyBorder="1" applyAlignment="1">
      <alignment horizontal="center" vertical="center"/>
    </xf>
    <xf numFmtId="0" fontId="2" fillId="14" borderId="1" xfId="0" applyFont="1" applyFill="1" applyBorder="1" applyAlignment="1">
      <alignment horizontal="center" vertical="center"/>
    </xf>
    <xf numFmtId="0" fontId="32" fillId="0" borderId="1" xfId="51" applyFont="1" applyFill="1" applyBorder="1" applyAlignment="1">
      <alignment horizontal="center" vertical="center"/>
    </xf>
    <xf numFmtId="184" fontId="0" fillId="0" borderId="1" xfId="0" applyNumberFormat="1" applyFill="1" applyBorder="1" applyAlignment="1">
      <alignment horizontal="center" vertical="center"/>
    </xf>
    <xf numFmtId="10" fontId="0" fillId="0" borderId="1" xfId="3" applyNumberFormat="1" applyFont="1" applyFill="1" applyBorder="1" applyAlignment="1">
      <alignment horizontal="center" vertical="center"/>
    </xf>
    <xf numFmtId="0" fontId="2" fillId="15" borderId="1" xfId="0" applyFont="1" applyFill="1" applyBorder="1" applyAlignment="1">
      <alignment horizontal="center" vertical="center"/>
    </xf>
    <xf numFmtId="0" fontId="0" fillId="0" borderId="1" xfId="0" applyFont="1" applyFill="1" applyBorder="1" applyAlignment="1">
      <alignment horizontal="center" vertical="center"/>
    </xf>
    <xf numFmtId="57" fontId="33" fillId="0" borderId="1" xfId="0" applyNumberFormat="1" applyFont="1" applyBorder="1" applyAlignment="1">
      <alignment horizontal="center" vertical="center"/>
    </xf>
    <xf numFmtId="0" fontId="2" fillId="0" borderId="7" xfId="0" applyFont="1" applyFill="1" applyBorder="1" applyAlignment="1">
      <alignment vertical="center"/>
    </xf>
    <xf numFmtId="0" fontId="2" fillId="16" borderId="9" xfId="0" applyFont="1" applyFill="1" applyBorder="1" applyAlignment="1">
      <alignment horizontal="center" vertical="center"/>
    </xf>
    <xf numFmtId="0" fontId="34" fillId="8" borderId="1" xfId="51" applyFont="1" applyFill="1" applyBorder="1" applyAlignment="1">
      <alignment horizontal="center" vertical="center"/>
    </xf>
    <xf numFmtId="184" fontId="34" fillId="8" borderId="29" xfId="51" applyNumberFormat="1" applyFont="1" applyFill="1" applyBorder="1" applyAlignment="1">
      <alignment horizontal="center" vertical="center"/>
    </xf>
    <xf numFmtId="184" fontId="34" fillId="8" borderId="30" xfId="51" applyNumberFormat="1" applyFont="1" applyFill="1" applyBorder="1" applyAlignment="1">
      <alignment horizontal="center" vertical="center"/>
    </xf>
    <xf numFmtId="184" fontId="34" fillId="8" borderId="31" xfId="51" applyNumberFormat="1" applyFont="1" applyFill="1" applyBorder="1" applyAlignment="1">
      <alignment horizontal="center" vertical="center"/>
    </xf>
    <xf numFmtId="0" fontId="32" fillId="8" borderId="1" xfId="51" applyFont="1" applyFill="1" applyBorder="1" applyAlignment="1">
      <alignment horizontal="center" vertical="center"/>
    </xf>
    <xf numFmtId="0" fontId="34" fillId="0" borderId="11" xfId="51" applyFont="1" applyBorder="1" applyAlignment="1">
      <alignment horizontal="center" vertical="center"/>
    </xf>
    <xf numFmtId="0" fontId="34" fillId="0" borderId="1" xfId="51" applyFont="1" applyBorder="1" applyAlignment="1">
      <alignment horizontal="center" vertical="center"/>
    </xf>
    <xf numFmtId="0" fontId="35" fillId="0" borderId="1" xfId="51" applyFont="1" applyBorder="1" applyAlignment="1">
      <alignment horizontal="center" vertical="center"/>
    </xf>
    <xf numFmtId="0" fontId="36" fillId="0" borderId="11" xfId="51" applyFont="1" applyBorder="1" applyAlignment="1">
      <alignment horizontal="center" vertical="center"/>
    </xf>
    <xf numFmtId="0" fontId="5" fillId="0" borderId="1" xfId="51" applyFont="1" applyBorder="1" applyAlignment="1">
      <alignment horizontal="center" vertical="center"/>
    </xf>
    <xf numFmtId="9" fontId="36" fillId="17" borderId="1" xfId="3" applyFont="1" applyFill="1" applyBorder="1" applyAlignment="1">
      <alignment horizontal="center" vertical="center"/>
    </xf>
    <xf numFmtId="9" fontId="31" fillId="2" borderId="1" xfId="16" applyNumberFormat="1" applyFont="1" applyBorder="1" applyAlignment="1">
      <alignment horizontal="center" vertical="center"/>
    </xf>
    <xf numFmtId="184" fontId="37" fillId="0" borderId="1" xfId="51" applyNumberFormat="1" applyFont="1" applyBorder="1" applyAlignment="1">
      <alignment horizontal="center" vertical="center"/>
    </xf>
    <xf numFmtId="0" fontId="36" fillId="0" borderId="13" xfId="51" applyFont="1" applyBorder="1" applyAlignment="1">
      <alignment horizontal="center" vertical="center"/>
    </xf>
    <xf numFmtId="184" fontId="38" fillId="0" borderId="1" xfId="51" applyNumberFormat="1" applyFont="1" applyBorder="1" applyAlignment="1">
      <alignment horizontal="center" vertical="center"/>
    </xf>
    <xf numFmtId="0" fontId="36" fillId="0" borderId="1" xfId="51" applyFont="1" applyBorder="1" applyAlignment="1">
      <alignment horizontal="center" vertical="center"/>
    </xf>
    <xf numFmtId="0" fontId="1" fillId="2" borderId="2" xfId="16" applyAlignment="1">
      <alignment vertical="top"/>
    </xf>
    <xf numFmtId="0" fontId="20" fillId="0" borderId="0" xfId="0" applyFont="1" applyAlignment="1">
      <alignment vertical="top"/>
    </xf>
    <xf numFmtId="0" fontId="0" fillId="18" borderId="0" xfId="0" applyFill="1" applyAlignment="1">
      <alignment vertical="top"/>
    </xf>
    <xf numFmtId="0" fontId="0" fillId="0" borderId="0" xfId="0" applyAlignment="1">
      <alignment vertical="top"/>
    </xf>
    <xf numFmtId="9" fontId="0" fillId="0" borderId="0" xfId="3" applyAlignment="1"/>
    <xf numFmtId="184" fontId="0" fillId="0" borderId="0" xfId="0" applyNumberFormat="1" applyFill="1" applyAlignment="1"/>
    <xf numFmtId="0" fontId="0" fillId="0" borderId="0" xfId="0" applyFont="1" applyAlignment="1"/>
    <xf numFmtId="0" fontId="0" fillId="0" borderId="0" xfId="0" applyProtection="1">
      <alignment vertical="center"/>
      <protection hidden="1"/>
    </xf>
    <xf numFmtId="0" fontId="0" fillId="0" borderId="0" xfId="0" applyAlignment="1" applyProtection="1">
      <alignment horizontal="center" vertical="center"/>
      <protection hidden="1"/>
    </xf>
    <xf numFmtId="0" fontId="2" fillId="19" borderId="1" xfId="0" applyFont="1" applyFill="1" applyBorder="1" applyAlignment="1" applyProtection="1">
      <alignment horizontal="center" vertical="center"/>
      <protection hidden="1"/>
    </xf>
    <xf numFmtId="0" fontId="39" fillId="19" borderId="1" xfId="0" applyFont="1" applyFill="1"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31" fillId="2" borderId="1" xfId="16" applyFont="1" applyBorder="1" applyAlignment="1" applyProtection="1">
      <alignment horizontal="center" vertical="center"/>
      <protection locked="0"/>
    </xf>
    <xf numFmtId="0" fontId="2" fillId="20" borderId="1" xfId="0" applyFont="1" applyFill="1" applyBorder="1" applyProtection="1">
      <alignment vertical="center"/>
      <protection hidden="1"/>
    </xf>
    <xf numFmtId="0" fontId="2" fillId="20" borderId="1" xfId="0" applyFont="1" applyFill="1" applyBorder="1" applyAlignment="1" applyProtection="1">
      <alignment horizontal="center" vertical="center"/>
      <protection hidden="1"/>
    </xf>
    <xf numFmtId="0" fontId="1" fillId="12" borderId="2" xfId="16" applyFill="1" applyProtection="1">
      <alignment vertical="center"/>
      <protection hidden="1"/>
    </xf>
    <xf numFmtId="0" fontId="20" fillId="0" borderId="0" xfId="0" applyFont="1" applyProtection="1">
      <alignment vertical="center"/>
      <protection hidden="1"/>
    </xf>
    <xf numFmtId="0" fontId="1" fillId="12" borderId="2" xfId="16" applyFill="1" applyAlignment="1" applyProtection="1">
      <alignment horizontal="center" vertical="center"/>
      <protection hidden="1"/>
    </xf>
    <xf numFmtId="0" fontId="20" fillId="0" borderId="0" xfId="0" applyFont="1" applyAlignment="1" applyProtection="1">
      <alignment horizontal="center" vertical="center"/>
      <protection hidden="1"/>
    </xf>
    <xf numFmtId="0" fontId="0" fillId="0" borderId="0" xfId="0" applyBorder="1" applyAlignment="1" applyProtection="1">
      <alignment horizontal="center" vertical="center"/>
      <protection hidden="1"/>
    </xf>
    <xf numFmtId="0" fontId="2" fillId="19" borderId="1" xfId="0" applyFont="1" applyFill="1" applyBorder="1" applyAlignment="1" applyProtection="1">
      <alignment horizontal="center" vertical="center"/>
      <protection locked="0"/>
    </xf>
    <xf numFmtId="0" fontId="2" fillId="0" borderId="0" xfId="0" applyFont="1" applyFill="1" applyBorder="1" applyAlignment="1" applyProtection="1">
      <alignment horizontal="center" vertical="center"/>
      <protection hidden="1"/>
    </xf>
    <xf numFmtId="0" fontId="2" fillId="0" borderId="9" xfId="0" applyFont="1" applyBorder="1" applyAlignment="1" applyProtection="1">
      <alignment horizontal="right" vertical="center"/>
      <protection hidden="1"/>
    </xf>
    <xf numFmtId="0" fontId="2" fillId="0" borderId="0" xfId="0" applyFont="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2" fillId="0" borderId="1" xfId="0" applyFont="1" applyFill="1" applyBorder="1" applyAlignment="1" applyProtection="1">
      <alignment horizontal="center" vertical="center"/>
      <protection hidden="1"/>
    </xf>
    <xf numFmtId="2" fontId="0" fillId="0" borderId="1" xfId="0" applyNumberFormat="1" applyBorder="1" applyAlignment="1" applyProtection="1">
      <alignment horizontal="center" vertical="center"/>
      <protection hidden="1"/>
    </xf>
    <xf numFmtId="2" fontId="40" fillId="21" borderId="2" xfId="18" applyNumberFormat="1" applyAlignment="1" applyProtection="1">
      <alignment horizontal="center" vertical="center"/>
      <protection hidden="1"/>
    </xf>
    <xf numFmtId="0" fontId="2" fillId="16" borderId="1" xfId="0" applyFont="1" applyFill="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 xfId="0" applyFont="1" applyBorder="1" applyAlignment="1" applyProtection="1">
      <alignment horizontal="center" vertical="center" wrapText="1"/>
      <protection hidden="1"/>
    </xf>
    <xf numFmtId="0" fontId="0" fillId="0" borderId="0" xfId="0" applyBorder="1" applyAlignment="1" applyProtection="1">
      <alignment vertical="center"/>
      <protection hidden="1"/>
    </xf>
    <xf numFmtId="0" fontId="2" fillId="0" borderId="13" xfId="0" applyFont="1" applyBorder="1" applyAlignment="1" applyProtection="1">
      <alignment horizontal="center" vertical="center"/>
      <protection hidden="1"/>
    </xf>
    <xf numFmtId="2" fontId="41" fillId="2" borderId="1" xfId="16" applyNumberFormat="1" applyFont="1" applyBorder="1" applyAlignment="1" applyProtection="1">
      <alignment horizontal="center" vertical="center"/>
      <protection locked="0"/>
    </xf>
    <xf numFmtId="2" fontId="2" fillId="0" borderId="1" xfId="0" applyNumberFormat="1" applyFont="1" applyBorder="1" applyAlignment="1" applyProtection="1">
      <alignment horizontal="center" vertical="center"/>
      <protection hidden="1"/>
    </xf>
    <xf numFmtId="0" fontId="0" fillId="0" borderId="0" xfId="0" applyFill="1" applyBorder="1" applyAlignment="1" applyProtection="1">
      <alignment horizontal="center" vertical="center"/>
      <protection hidden="1"/>
    </xf>
    <xf numFmtId="176" fontId="0" fillId="0" borderId="1" xfId="0" applyNumberFormat="1" applyBorder="1" applyAlignment="1" applyProtection="1">
      <alignment horizontal="center" vertical="center"/>
      <protection hidden="1"/>
    </xf>
    <xf numFmtId="0" fontId="0" fillId="0" borderId="1" xfId="0" applyFill="1" applyBorder="1" applyAlignment="1" applyProtection="1">
      <alignment horizontal="center" vertical="center"/>
      <protection hidden="1"/>
    </xf>
    <xf numFmtId="0" fontId="0" fillId="0" borderId="1" xfId="0" applyBorder="1" applyProtection="1">
      <alignment vertical="center"/>
      <protection hidden="1"/>
    </xf>
    <xf numFmtId="0" fontId="0" fillId="0" borderId="0" xfId="0" applyBorder="1" applyProtection="1">
      <alignment vertical="center"/>
      <protection hidden="1"/>
    </xf>
    <xf numFmtId="181" fontId="0" fillId="0" borderId="0" xfId="0" applyNumberFormat="1" applyBorder="1" applyAlignment="1" applyProtection="1">
      <alignment horizontal="center" vertical="center"/>
      <protection hidden="1"/>
    </xf>
    <xf numFmtId="176" fontId="0" fillId="0" borderId="0" xfId="0" applyNumberFormat="1" applyBorder="1" applyAlignment="1" applyProtection="1">
      <alignment horizontal="center" vertical="center"/>
      <protection hidden="1"/>
    </xf>
    <xf numFmtId="2" fontId="0" fillId="0" borderId="0" xfId="0" applyNumberFormat="1" applyBorder="1" applyAlignment="1" applyProtection="1">
      <alignment horizontal="center" vertical="center"/>
      <protection hidden="1"/>
    </xf>
    <xf numFmtId="0" fontId="2" fillId="16" borderId="29" xfId="0" applyFont="1" applyFill="1" applyBorder="1" applyAlignment="1" applyProtection="1">
      <alignment horizontal="center" vertical="center"/>
      <protection hidden="1"/>
    </xf>
    <xf numFmtId="0" fontId="2" fillId="16" borderId="30" xfId="0" applyFont="1" applyFill="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41" fillId="2" borderId="2" xfId="16" applyFont="1" applyAlignment="1" applyProtection="1">
      <alignment horizontal="center" vertical="center"/>
      <protection hidden="1"/>
    </xf>
    <xf numFmtId="10" fontId="0" fillId="0" borderId="1" xfId="0" applyNumberFormat="1" applyBorder="1" applyProtection="1">
      <alignment vertical="center"/>
      <protection hidden="1"/>
    </xf>
    <xf numFmtId="10" fontId="4" fillId="0" borderId="1" xfId="0" applyNumberFormat="1" applyFont="1" applyFill="1" applyBorder="1" applyAlignment="1" applyProtection="1">
      <alignment vertical="center"/>
      <protection hidden="1"/>
    </xf>
    <xf numFmtId="180" fontId="0" fillId="0" borderId="1" xfId="0" applyNumberFormat="1" applyBorder="1" applyProtection="1">
      <alignment vertical="center"/>
      <protection hidden="1"/>
    </xf>
    <xf numFmtId="0" fontId="0" fillId="0" borderId="3" xfId="0" applyBorder="1" applyAlignment="1" applyProtection="1">
      <alignment horizontal="center" vertical="center"/>
      <protection hidden="1"/>
    </xf>
    <xf numFmtId="0" fontId="0" fillId="0" borderId="4" xfId="0" applyBorder="1" applyAlignment="1" applyProtection="1">
      <alignment horizontal="center" vertical="center"/>
      <protection hidden="1"/>
    </xf>
    <xf numFmtId="2" fontId="0" fillId="0" borderId="4" xfId="0" applyNumberFormat="1" applyBorder="1" applyAlignment="1" applyProtection="1">
      <alignment horizontal="center" vertical="center"/>
      <protection hidden="1"/>
    </xf>
    <xf numFmtId="0" fontId="2" fillId="16" borderId="31" xfId="0" applyFont="1" applyFill="1" applyBorder="1" applyAlignment="1" applyProtection="1">
      <alignment horizontal="center" vertical="center"/>
      <protection hidden="1"/>
    </xf>
    <xf numFmtId="0" fontId="2" fillId="0" borderId="29" xfId="0" applyFont="1" applyBorder="1" applyAlignment="1" applyProtection="1">
      <alignment horizontal="center" vertical="center"/>
      <protection hidden="1"/>
    </xf>
    <xf numFmtId="0" fontId="2" fillId="0" borderId="11" xfId="0" applyFont="1" applyBorder="1" applyAlignment="1" applyProtection="1">
      <alignment horizontal="center" vertical="center" wrapText="1"/>
      <protection hidden="1"/>
    </xf>
    <xf numFmtId="0" fontId="2" fillId="0" borderId="12" xfId="0" applyFont="1" applyBorder="1" applyAlignment="1" applyProtection="1">
      <alignment horizontal="center" vertical="center"/>
      <protection hidden="1"/>
    </xf>
    <xf numFmtId="0" fontId="2" fillId="0" borderId="6" xfId="0" applyFont="1" applyBorder="1" applyAlignment="1" applyProtection="1">
      <alignment horizontal="center" vertical="center"/>
      <protection hidden="1"/>
    </xf>
    <xf numFmtId="0" fontId="2" fillId="0" borderId="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13" xfId="0" applyFont="1" applyBorder="1" applyAlignment="1" applyProtection="1">
      <alignment horizontal="center" vertical="center" wrapText="1"/>
      <protection hidden="1"/>
    </xf>
    <xf numFmtId="2" fontId="41" fillId="2" borderId="2" xfId="16" applyNumberFormat="1" applyFont="1" applyAlignment="1" applyProtection="1">
      <alignment horizontal="center" vertical="center"/>
      <protection locked="0"/>
    </xf>
    <xf numFmtId="0" fontId="42" fillId="0" borderId="1" xfId="0" applyNumberFormat="1" applyFont="1" applyFill="1" applyBorder="1" applyAlignment="1" applyProtection="1">
      <alignment horizontal="center" vertical="center"/>
      <protection hidden="1"/>
    </xf>
    <xf numFmtId="0" fontId="43" fillId="0" borderId="1" xfId="0" applyNumberFormat="1" applyFont="1" applyFill="1" applyBorder="1" applyAlignment="1" applyProtection="1">
      <alignment horizontal="center" vertical="center"/>
      <protection hidden="1"/>
    </xf>
    <xf numFmtId="0" fontId="3" fillId="0" borderId="0" xfId="0" applyNumberFormat="1" applyFont="1" applyFill="1" applyBorder="1" applyAlignment="1" applyProtection="1">
      <alignment horizontal="center" vertical="center"/>
      <protection hidden="1"/>
    </xf>
    <xf numFmtId="0" fontId="4" fillId="0" borderId="0" xfId="0" applyNumberFormat="1" applyFont="1" applyFill="1" applyBorder="1" applyAlignment="1" applyProtection="1">
      <alignment horizontal="center" vertical="center"/>
      <protection hidden="1"/>
    </xf>
    <xf numFmtId="2" fontId="3" fillId="0" borderId="0" xfId="0" applyNumberFormat="1" applyFont="1" applyFill="1" applyBorder="1" applyAlignment="1" applyProtection="1">
      <alignment horizontal="center" vertical="center"/>
      <protection hidden="1"/>
    </xf>
    <xf numFmtId="0" fontId="4" fillId="0" borderId="0" xfId="0" applyNumberFormat="1" applyFont="1" applyFill="1" applyBorder="1" applyAlignment="1" applyProtection="1">
      <alignment horizontal="right" vertical="center"/>
      <protection hidden="1"/>
    </xf>
    <xf numFmtId="0" fontId="4" fillId="0" borderId="0" xfId="0" applyNumberFormat="1" applyFont="1" applyFill="1" applyBorder="1" applyAlignment="1" applyProtection="1">
      <alignment vertical="center"/>
      <protection hidden="1"/>
    </xf>
    <xf numFmtId="10" fontId="4" fillId="0" borderId="0" xfId="0" applyNumberFormat="1" applyFont="1" applyFill="1" applyBorder="1" applyAlignment="1" applyProtection="1">
      <alignment vertical="center"/>
      <protection hidden="1"/>
    </xf>
    <xf numFmtId="179" fontId="4" fillId="0" borderId="0" xfId="0" applyNumberFormat="1" applyFont="1" applyFill="1" applyBorder="1" applyAlignment="1" applyProtection="1">
      <alignment vertical="center"/>
      <protection hidden="1"/>
    </xf>
    <xf numFmtId="179" fontId="4" fillId="0" borderId="0" xfId="0" applyNumberFormat="1" applyFont="1" applyFill="1" applyBorder="1" applyAlignment="1" applyProtection="1">
      <alignment horizontal="center" vertical="center"/>
      <protection hidden="1"/>
    </xf>
    <xf numFmtId="2" fontId="41" fillId="2" borderId="2" xfId="16" applyNumberFormat="1" applyFont="1" applyAlignment="1" applyProtection="1">
      <alignment horizontal="center" vertical="center"/>
      <protection hidden="1"/>
    </xf>
    <xf numFmtId="2" fontId="0" fillId="0" borderId="29" xfId="0" applyNumberFormat="1" applyBorder="1" applyAlignment="1" applyProtection="1">
      <alignment horizontal="center" vertical="center"/>
      <protection hidden="1"/>
    </xf>
    <xf numFmtId="2" fontId="0" fillId="0" borderId="30" xfId="0" applyNumberFormat="1" applyBorder="1" applyAlignment="1" applyProtection="1">
      <alignment horizontal="center" vertical="center"/>
      <protection hidden="1"/>
    </xf>
    <xf numFmtId="2" fontId="0" fillId="0" borderId="31" xfId="0" applyNumberFormat="1" applyBorder="1" applyAlignment="1" applyProtection="1">
      <alignment horizontal="center" vertical="center"/>
      <protection hidden="1"/>
    </xf>
    <xf numFmtId="176" fontId="0" fillId="0" borderId="0" xfId="0" applyNumberFormat="1" applyProtection="1">
      <alignment vertical="center"/>
      <protection hidden="1"/>
    </xf>
    <xf numFmtId="181" fontId="0" fillId="0" borderId="1" xfId="0" applyNumberFormat="1" applyBorder="1" applyAlignment="1" applyProtection="1">
      <alignment horizontal="center" vertical="center"/>
      <protection hidden="1"/>
    </xf>
    <xf numFmtId="0" fontId="41" fillId="2" borderId="1" xfId="16" applyFont="1" applyBorder="1" applyProtection="1">
      <alignment vertical="center"/>
      <protection locked="0"/>
    </xf>
    <xf numFmtId="0" fontId="2" fillId="0" borderId="1" xfId="0" applyFont="1" applyBorder="1" applyProtection="1">
      <alignment vertical="center"/>
      <protection hidden="1"/>
    </xf>
    <xf numFmtId="0" fontId="0" fillId="0" borderId="1" xfId="0" applyBorder="1" applyAlignment="1" applyProtection="1">
      <alignment horizontal="left" vertical="center" wrapText="1"/>
      <protection hidden="1"/>
    </xf>
    <xf numFmtId="0" fontId="0" fillId="0" borderId="3" xfId="0" applyBorder="1" applyAlignment="1" applyProtection="1">
      <alignment horizontal="center" vertical="center" wrapText="1"/>
      <protection hidden="1"/>
    </xf>
    <xf numFmtId="0" fontId="0" fillId="0" borderId="4" xfId="0" applyBorder="1" applyAlignment="1" applyProtection="1">
      <alignment horizontal="center" vertical="center" wrapText="1"/>
      <protection hidden="1"/>
    </xf>
    <xf numFmtId="0" fontId="0" fillId="0" borderId="5" xfId="0" applyBorder="1" applyAlignment="1" applyProtection="1">
      <alignment horizontal="center" vertical="center" wrapText="1"/>
      <protection hidden="1"/>
    </xf>
    <xf numFmtId="0" fontId="0" fillId="0" borderId="11" xfId="0" applyBorder="1" applyAlignment="1" applyProtection="1">
      <alignment horizontal="center" vertical="center" wrapText="1"/>
      <protection hidden="1"/>
    </xf>
    <xf numFmtId="0" fontId="0" fillId="0" borderId="1" xfId="0" applyBorder="1" applyAlignment="1" applyProtection="1">
      <alignment horizontal="center" vertical="center" wrapText="1"/>
      <protection hidden="1"/>
    </xf>
    <xf numFmtId="0" fontId="0" fillId="0" borderId="8" xfId="0"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10" xfId="0" applyBorder="1" applyAlignment="1" applyProtection="1">
      <alignment horizontal="center" vertical="center" wrapText="1"/>
      <protection hidden="1"/>
    </xf>
    <xf numFmtId="0" fontId="0" fillId="0" borderId="13" xfId="0" applyBorder="1" applyAlignment="1" applyProtection="1">
      <alignment horizontal="center" vertical="center"/>
      <protection hidden="1"/>
    </xf>
    <xf numFmtId="0" fontId="1" fillId="2" borderId="2" xfId="16" applyAlignment="1" applyProtection="1">
      <alignment vertical="center"/>
      <protection locked="0"/>
    </xf>
    <xf numFmtId="176" fontId="0" fillId="0" borderId="1" xfId="0" applyNumberFormat="1" applyBorder="1" applyAlignment="1" applyProtection="1">
      <alignment vertical="center"/>
      <protection hidden="1"/>
    </xf>
    <xf numFmtId="58" fontId="0" fillId="0" borderId="1" xfId="0" applyNumberFormat="1" applyBorder="1" applyAlignment="1" applyProtection="1">
      <alignment horizontal="center" vertical="center"/>
      <protection hidden="1"/>
    </xf>
    <xf numFmtId="176" fontId="0" fillId="0" borderId="0" xfId="0" applyNumberFormat="1" applyBorder="1" applyAlignment="1" applyProtection="1">
      <alignment vertical="center"/>
      <protection hidden="1"/>
    </xf>
    <xf numFmtId="0" fontId="1" fillId="2" borderId="1" xfId="16" applyBorder="1" applyProtection="1">
      <alignment vertical="center"/>
      <protection locked="0"/>
    </xf>
    <xf numFmtId="177" fontId="0" fillId="0" borderId="1"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0" fillId="0" borderId="1" xfId="0" applyBorder="1" applyAlignment="1" applyProtection="1">
      <alignment horizontal="left" vertical="center"/>
      <protection hidden="1"/>
    </xf>
    <xf numFmtId="2" fontId="2" fillId="22" borderId="1" xfId="0" applyNumberFormat="1" applyFont="1" applyFill="1" applyBorder="1" applyAlignment="1" applyProtection="1">
      <alignment horizontal="center" vertical="center"/>
      <protection hidden="1"/>
    </xf>
    <xf numFmtId="9" fontId="0" fillId="0" borderId="1" xfId="0" applyNumberFormat="1" applyBorder="1" applyAlignment="1" applyProtection="1">
      <alignment horizontal="center" vertical="center"/>
      <protection hidden="1"/>
    </xf>
    <xf numFmtId="176" fontId="0" fillId="0" borderId="1" xfId="0" applyNumberFormat="1" applyBorder="1" applyAlignment="1" applyProtection="1">
      <alignment horizontal="center" vertical="center" wrapText="1"/>
      <protection hidden="1"/>
    </xf>
    <xf numFmtId="10" fontId="0" fillId="0" borderId="1" xfId="0" applyNumberFormat="1" applyBorder="1" applyAlignment="1" applyProtection="1">
      <alignment horizontal="center" vertical="center"/>
      <protection hidden="1"/>
    </xf>
    <xf numFmtId="177" fontId="0" fillId="0" borderId="1" xfId="0" applyNumberFormat="1" applyBorder="1" applyProtection="1">
      <alignment vertical="center"/>
      <protection hidden="1"/>
    </xf>
    <xf numFmtId="176" fontId="0" fillId="0" borderId="1" xfId="0" applyNumberFormat="1" applyFill="1" applyBorder="1" applyAlignment="1" applyProtection="1">
      <alignment horizontal="center" vertical="center"/>
      <protection hidden="1"/>
    </xf>
    <xf numFmtId="2" fontId="0" fillId="0" borderId="1" xfId="0" applyNumberFormat="1" applyFill="1" applyBorder="1" applyAlignment="1" applyProtection="1">
      <alignment horizontal="center" vertical="center"/>
      <protection hidden="1"/>
    </xf>
    <xf numFmtId="176" fontId="0" fillId="0" borderId="0" xfId="0" applyNumberFormat="1" applyFill="1" applyBorder="1" applyAlignment="1" applyProtection="1">
      <alignment horizontal="center" vertical="center"/>
      <protection hidden="1"/>
    </xf>
    <xf numFmtId="2" fontId="0" fillId="0" borderId="0" xfId="0" applyNumberFormat="1" applyFill="1" applyBorder="1" applyAlignment="1" applyProtection="1">
      <alignment horizontal="center" vertical="center"/>
      <protection hidden="1"/>
    </xf>
    <xf numFmtId="0" fontId="2" fillId="23" borderId="29" xfId="0" applyFont="1" applyFill="1" applyBorder="1" applyAlignment="1" applyProtection="1">
      <alignment horizontal="center" vertical="center"/>
      <protection hidden="1"/>
    </xf>
    <xf numFmtId="0" fontId="2" fillId="23" borderId="30" xfId="0" applyFont="1" applyFill="1" applyBorder="1" applyAlignment="1" applyProtection="1">
      <alignment horizontal="center" vertical="center"/>
      <protection hidden="1"/>
    </xf>
    <xf numFmtId="0" fontId="2" fillId="23" borderId="31" xfId="0" applyFont="1" applyFill="1" applyBorder="1" applyAlignment="1" applyProtection="1">
      <alignment horizontal="center" vertical="center"/>
      <protection hidden="1"/>
    </xf>
    <xf numFmtId="2" fontId="0" fillId="22" borderId="1" xfId="0" applyNumberFormat="1" applyFill="1" applyBorder="1" applyAlignment="1" applyProtection="1">
      <alignment horizontal="center" vertical="center"/>
      <protection hidden="1"/>
    </xf>
    <xf numFmtId="0" fontId="2" fillId="23" borderId="1" xfId="0" applyFont="1" applyFill="1" applyBorder="1" applyAlignment="1" applyProtection="1">
      <alignment horizontal="center" vertical="center"/>
      <protection hidden="1"/>
    </xf>
    <xf numFmtId="178" fontId="0" fillId="0" borderId="1" xfId="0" applyNumberFormat="1" applyBorder="1" applyAlignment="1" applyProtection="1">
      <alignment horizontal="center" vertical="center"/>
      <protection hidden="1"/>
    </xf>
    <xf numFmtId="10" fontId="0" fillId="0" borderId="1" xfId="0" applyNumberFormat="1" applyFill="1" applyBorder="1" applyAlignment="1" applyProtection="1">
      <alignment horizontal="center" vertical="center"/>
      <protection hidden="1"/>
    </xf>
    <xf numFmtId="2" fontId="2" fillId="0" borderId="1" xfId="0" applyNumberFormat="1" applyFont="1" applyFill="1" applyBorder="1" applyAlignment="1" applyProtection="1">
      <alignment horizontal="center" vertical="center"/>
      <protection hidden="1"/>
    </xf>
    <xf numFmtId="180" fontId="0" fillId="0" borderId="1" xfId="0" applyNumberFormat="1" applyBorder="1" applyAlignment="1" applyProtection="1">
      <alignment horizontal="center" vertical="center"/>
      <protection hidden="1"/>
    </xf>
    <xf numFmtId="180" fontId="0" fillId="0" borderId="1" xfId="0" applyNumberFormat="1" applyFill="1" applyBorder="1" applyAlignment="1" applyProtection="1">
      <alignment horizontal="center" vertical="center"/>
      <protection hidden="1"/>
    </xf>
    <xf numFmtId="0" fontId="0" fillId="0" borderId="0" xfId="0" applyBorder="1" applyAlignment="1" applyProtection="1">
      <alignment horizontal="center" vertical="center" wrapText="1"/>
      <protection hidden="1"/>
    </xf>
    <xf numFmtId="0" fontId="0" fillId="0" borderId="1" xfId="0" applyBorder="1" applyAlignment="1" applyProtection="1">
      <alignment vertical="center"/>
      <protection hidden="1"/>
    </xf>
    <xf numFmtId="0" fontId="0" fillId="0" borderId="29" xfId="0" applyBorder="1" applyAlignment="1" applyProtection="1">
      <alignment horizontal="left" vertical="center"/>
      <protection hidden="1"/>
    </xf>
    <xf numFmtId="0" fontId="0" fillId="0" borderId="30" xfId="0" applyBorder="1" applyAlignment="1" applyProtection="1">
      <alignment horizontal="left" vertical="center"/>
      <protection hidden="1"/>
    </xf>
    <xf numFmtId="0" fontId="0" fillId="0" borderId="31" xfId="0" applyBorder="1" applyAlignment="1" applyProtection="1">
      <alignment horizontal="left" vertical="center"/>
      <protection hidden="1"/>
    </xf>
    <xf numFmtId="182" fontId="0" fillId="0" borderId="1" xfId="3" applyNumberFormat="1" applyFont="1" applyBorder="1" applyAlignment="1" applyProtection="1">
      <alignment horizontal="center" vertical="center"/>
      <protection hidden="1"/>
    </xf>
    <xf numFmtId="182" fontId="0" fillId="0" borderId="1" xfId="0" applyNumberFormat="1" applyBorder="1" applyAlignment="1" applyProtection="1">
      <alignment horizontal="center" vertical="center"/>
      <protection hidden="1"/>
    </xf>
    <xf numFmtId="0" fontId="0" fillId="0" borderId="0" xfId="0" applyFont="1">
      <alignment vertical="center"/>
    </xf>
    <xf numFmtId="0" fontId="17" fillId="8" borderId="11" xfId="0" applyNumberFormat="1" applyFont="1" applyFill="1" applyBorder="1" applyAlignment="1" applyProtection="1">
      <alignment horizontal="center" vertical="center" wrapText="1"/>
    </xf>
    <xf numFmtId="0" fontId="17" fillId="8" borderId="29" xfId="0" applyNumberFormat="1" applyFont="1" applyFill="1" applyBorder="1" applyAlignment="1" applyProtection="1">
      <alignment horizontal="center" vertical="center" wrapText="1"/>
    </xf>
    <xf numFmtId="0" fontId="17" fillId="8" borderId="30" xfId="0" applyNumberFormat="1" applyFont="1" applyFill="1" applyBorder="1" applyAlignment="1" applyProtection="1">
      <alignment horizontal="center" vertical="center" wrapText="1"/>
    </xf>
    <xf numFmtId="0" fontId="17" fillId="8" borderId="31" xfId="0" applyNumberFormat="1" applyFont="1" applyFill="1" applyBorder="1" applyAlignment="1" applyProtection="1">
      <alignment horizontal="center" vertical="center" wrapText="1"/>
    </xf>
    <xf numFmtId="0" fontId="17" fillId="8" borderId="1" xfId="0" applyNumberFormat="1" applyFont="1" applyFill="1" applyBorder="1" applyAlignment="1" applyProtection="1">
      <alignment vertical="center" wrapText="1"/>
    </xf>
    <xf numFmtId="0" fontId="16" fillId="8" borderId="1" xfId="0" applyNumberFormat="1" applyFont="1" applyFill="1" applyBorder="1" applyAlignment="1" applyProtection="1">
      <alignment horizontal="center" vertical="center" wrapText="1"/>
    </xf>
    <xf numFmtId="0" fontId="17" fillId="8" borderId="13" xfId="0" applyNumberFormat="1" applyFont="1" applyFill="1" applyBorder="1" applyAlignment="1" applyProtection="1">
      <alignment horizontal="center" vertical="center" wrapText="1"/>
    </xf>
    <xf numFmtId="0" fontId="17" fillId="8" borderId="1" xfId="0" applyNumberFormat="1" applyFont="1" applyFill="1" applyBorder="1" applyAlignment="1" applyProtection="1">
      <alignment horizontal="center" vertical="center" wrapText="1"/>
    </xf>
    <xf numFmtId="0" fontId="17" fillId="14" borderId="1" xfId="0" applyNumberFormat="1" applyFont="1" applyFill="1" applyBorder="1" applyAlignment="1" applyProtection="1">
      <alignment horizontal="center" vertical="center" wrapText="1"/>
    </xf>
    <xf numFmtId="184" fontId="17" fillId="14" borderId="1" xfId="0" applyNumberFormat="1" applyFont="1" applyFill="1" applyBorder="1" applyAlignment="1" applyProtection="1">
      <alignment horizontal="center" vertical="center" wrapText="1"/>
    </xf>
    <xf numFmtId="10" fontId="17" fillId="24"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wrapText="1"/>
    </xf>
    <xf numFmtId="184" fontId="17" fillId="0" borderId="1" xfId="0" applyNumberFormat="1" applyFont="1" applyFill="1" applyBorder="1" applyAlignment="1" applyProtection="1">
      <alignment horizontal="center" vertical="center" wrapText="1"/>
    </xf>
    <xf numFmtId="10" fontId="17" fillId="0" borderId="1" xfId="0" applyNumberFormat="1" applyFont="1" applyFill="1" applyBorder="1" applyAlignment="1" applyProtection="1">
      <alignment horizontal="center" vertical="center" wrapText="1"/>
    </xf>
    <xf numFmtId="0" fontId="44" fillId="0" borderId="1" xfId="0" applyNumberFormat="1" applyFont="1" applyFill="1" applyBorder="1" applyAlignment="1" applyProtection="1">
      <alignment horizontal="center" vertical="center" wrapText="1"/>
    </xf>
    <xf numFmtId="0" fontId="16" fillId="0" borderId="1" xfId="0" applyNumberFormat="1" applyFont="1" applyFill="1" applyBorder="1" applyAlignment="1" applyProtection="1">
      <alignment horizontal="center" vertical="center" wrapText="1"/>
    </xf>
    <xf numFmtId="0" fontId="45" fillId="0" borderId="1" xfId="0" applyNumberFormat="1" applyFont="1" applyFill="1" applyBorder="1" applyAlignment="1" applyProtection="1">
      <alignment horizontal="center" vertical="center" wrapText="1"/>
    </xf>
    <xf numFmtId="184" fontId="16" fillId="0" borderId="1" xfId="0" applyNumberFormat="1" applyFont="1" applyFill="1" applyBorder="1" applyAlignment="1" applyProtection="1">
      <alignment horizontal="center" vertical="center" wrapText="1"/>
    </xf>
    <xf numFmtId="10" fontId="16" fillId="0" borderId="1" xfId="0" applyNumberFormat="1" applyFont="1" applyFill="1" applyBorder="1" applyAlignment="1" applyProtection="1">
      <alignment horizontal="center" vertical="center" wrapText="1"/>
    </xf>
    <xf numFmtId="0" fontId="2" fillId="8" borderId="1" xfId="0" applyFont="1" applyFill="1" applyBorder="1" applyAlignment="1">
      <alignment horizontal="center" vertical="center"/>
    </xf>
    <xf numFmtId="0" fontId="16" fillId="14" borderId="1" xfId="0" applyNumberFormat="1" applyFont="1" applyFill="1" applyBorder="1" applyAlignment="1" applyProtection="1">
      <alignment horizontal="center" vertical="center" wrapText="1"/>
    </xf>
    <xf numFmtId="0" fontId="46"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0" xfId="0" applyFont="1" applyAlignment="1">
      <alignment horizontal="center" vertical="center"/>
    </xf>
    <xf numFmtId="184" fontId="16" fillId="14" borderId="1" xfId="0" applyNumberFormat="1" applyFont="1" applyFill="1" applyBorder="1" applyAlignment="1" applyProtection="1">
      <alignment horizontal="center" vertical="center" wrapText="1"/>
    </xf>
    <xf numFmtId="10" fontId="17" fillId="14" borderId="1" xfId="0" applyNumberFormat="1" applyFont="1" applyFill="1" applyBorder="1" applyAlignment="1" applyProtection="1">
      <alignment horizontal="center" vertical="center" wrapText="1"/>
    </xf>
    <xf numFmtId="0" fontId="4" fillId="0" borderId="1" xfId="0" applyNumberFormat="1" applyFont="1" applyFill="1" applyBorder="1" applyAlignment="1" applyProtection="1">
      <alignment horizontal="center" vertical="center" wrapText="1"/>
    </xf>
    <xf numFmtId="0" fontId="4" fillId="0" borderId="1" xfId="0" applyNumberFormat="1" applyFont="1" applyFill="1" applyBorder="1" applyAlignment="1" applyProtection="1">
      <alignment horizontal="center" wrapText="1"/>
    </xf>
    <xf numFmtId="0" fontId="16" fillId="0" borderId="0" xfId="0" applyNumberFormat="1" applyFont="1" applyFill="1" applyBorder="1" applyAlignment="1" applyProtection="1"/>
    <xf numFmtId="187" fontId="17" fillId="0" borderId="1" xfId="0" applyNumberFormat="1" applyFont="1" applyFill="1" applyBorder="1" applyAlignment="1" applyProtection="1">
      <alignment horizontal="center" vertical="center" wrapText="1"/>
    </xf>
    <xf numFmtId="188" fontId="16" fillId="0" borderId="29" xfId="0" applyNumberFormat="1" applyFont="1" applyFill="1" applyBorder="1" applyAlignment="1" applyProtection="1">
      <alignment horizontal="center" vertical="center" wrapText="1"/>
    </xf>
    <xf numFmtId="188" fontId="16" fillId="0" borderId="30" xfId="0" applyNumberFormat="1" applyFont="1" applyFill="1" applyBorder="1" applyAlignment="1" applyProtection="1">
      <alignment horizontal="center" vertical="center" wrapText="1"/>
    </xf>
    <xf numFmtId="188" fontId="16" fillId="0" borderId="31" xfId="0" applyNumberFormat="1" applyFont="1" applyFill="1" applyBorder="1" applyAlignment="1" applyProtection="1">
      <alignment horizontal="center" vertical="center" wrapText="1"/>
    </xf>
    <xf numFmtId="188" fontId="16" fillId="0" borderId="1" xfId="0" applyNumberFormat="1" applyFont="1" applyFill="1" applyBorder="1" applyAlignment="1" applyProtection="1">
      <alignment horizontal="center" vertical="center" wrapText="1"/>
    </xf>
    <xf numFmtId="189" fontId="16" fillId="0" borderId="1" xfId="0" applyNumberFormat="1" applyFont="1" applyFill="1" applyBorder="1" applyAlignment="1" applyProtection="1">
      <alignment horizontal="center" vertical="center" wrapText="1"/>
    </xf>
    <xf numFmtId="190" fontId="47" fillId="14" borderId="1" xfId="3" applyNumberFormat="1" applyFont="1" applyFill="1" applyBorder="1" applyAlignment="1" applyProtection="1">
      <alignment horizontal="center" vertical="center" wrapText="1"/>
    </xf>
    <xf numFmtId="190" fontId="17" fillId="14" borderId="1" xfId="3" applyNumberFormat="1" applyFont="1" applyFill="1" applyBorder="1" applyAlignment="1" applyProtection="1">
      <alignment horizontal="center" vertical="center" wrapText="1"/>
    </xf>
    <xf numFmtId="0" fontId="19" fillId="0" borderId="0" xfId="0" applyFont="1">
      <alignment vertical="center"/>
    </xf>
    <xf numFmtId="0" fontId="48" fillId="13" borderId="11" xfId="0" applyFont="1" applyFill="1" applyBorder="1" applyAlignment="1">
      <alignment horizontal="center" vertical="center"/>
    </xf>
    <xf numFmtId="0" fontId="44" fillId="0" borderId="1" xfId="0" applyFont="1" applyFill="1" applyBorder="1" applyAlignment="1">
      <alignment horizontal="center" vertical="center" wrapText="1"/>
    </xf>
    <xf numFmtId="0" fontId="48" fillId="13" borderId="13" xfId="0" applyFont="1" applyFill="1" applyBorder="1" applyAlignment="1">
      <alignment horizontal="center" vertical="center"/>
    </xf>
    <xf numFmtId="0" fontId="44" fillId="0" borderId="0" xfId="0" applyFont="1" applyFill="1" applyAlignment="1">
      <alignment horizontal="center" vertical="center"/>
    </xf>
    <xf numFmtId="0" fontId="45" fillId="0" borderId="0" xfId="0" applyFont="1" applyFill="1" applyBorder="1" applyAlignment="1">
      <alignment horizontal="center" vertical="center"/>
    </xf>
    <xf numFmtId="0" fontId="44" fillId="14" borderId="6" xfId="0" applyFont="1" applyFill="1" applyBorder="1" applyAlignment="1">
      <alignment horizontal="center" vertical="center"/>
    </xf>
    <xf numFmtId="0" fontId="44" fillId="14" borderId="0" xfId="0" applyFont="1" applyFill="1" applyAlignment="1">
      <alignment horizontal="center" vertical="center"/>
    </xf>
    <xf numFmtId="0" fontId="44" fillId="0" borderId="13" xfId="0" applyFont="1" applyFill="1" applyBorder="1" applyAlignment="1">
      <alignment horizontal="center" vertical="center"/>
    </xf>
    <xf numFmtId="0" fontId="44" fillId="0" borderId="13" xfId="0" applyFont="1" applyFill="1" applyBorder="1" applyAlignment="1">
      <alignment horizontal="center" vertical="center" wrapText="1"/>
    </xf>
    <xf numFmtId="0" fontId="19" fillId="0" borderId="0" xfId="0" applyFont="1" applyAlignment="1">
      <alignment horizontal="center" vertical="center"/>
    </xf>
    <xf numFmtId="0" fontId="44" fillId="0" borderId="1" xfId="0" applyFont="1" applyFill="1" applyBorder="1" applyAlignment="1">
      <alignment horizontal="center" vertical="center"/>
    </xf>
    <xf numFmtId="0" fontId="49" fillId="0" borderId="13" xfId="0" applyFont="1" applyFill="1" applyBorder="1" applyAlignment="1">
      <alignment horizontal="center" vertical="center"/>
    </xf>
    <xf numFmtId="0" fontId="19" fillId="0" borderId="1" xfId="0" applyFont="1" applyBorder="1">
      <alignment vertical="center"/>
    </xf>
    <xf numFmtId="0" fontId="19" fillId="0" borderId="0" xfId="0" applyFont="1" applyAlignment="1">
      <alignment horizontal="center" vertical="center" wrapText="1"/>
    </xf>
    <xf numFmtId="0" fontId="49" fillId="0" borderId="1" xfId="0" applyFont="1" applyFill="1" applyBorder="1" applyAlignment="1">
      <alignment horizontal="center" vertical="center"/>
    </xf>
    <xf numFmtId="0" fontId="44" fillId="12" borderId="29" xfId="0" applyFont="1" applyFill="1" applyBorder="1" applyAlignment="1">
      <alignment horizontal="center" vertical="center"/>
    </xf>
    <xf numFmtId="0" fontId="0" fillId="12" borderId="1" xfId="0" applyFill="1" applyBorder="1" applyAlignment="1">
      <alignment horizontal="center" vertical="center"/>
    </xf>
    <xf numFmtId="0" fontId="50" fillId="0" borderId="1" xfId="0" applyFont="1" applyFill="1" applyBorder="1" applyAlignment="1">
      <alignment horizontal="center" vertical="center"/>
    </xf>
    <xf numFmtId="0" fontId="19" fillId="12" borderId="1" xfId="0" applyFont="1" applyFill="1" applyBorder="1" applyAlignment="1">
      <alignment horizontal="center" vertical="center"/>
    </xf>
    <xf numFmtId="184" fontId="19" fillId="0" borderId="1" xfId="0" applyNumberFormat="1" applyFont="1" applyBorder="1" applyAlignment="1">
      <alignment horizontal="center" vertical="center"/>
    </xf>
    <xf numFmtId="184" fontId="19" fillId="12" borderId="1" xfId="0" applyNumberFormat="1" applyFont="1" applyFill="1" applyBorder="1" applyAlignment="1">
      <alignment horizontal="center" vertical="center"/>
    </xf>
    <xf numFmtId="184" fontId="19" fillId="0" borderId="11" xfId="0" applyNumberFormat="1" applyFont="1" applyBorder="1" applyAlignment="1">
      <alignment horizontal="center" vertical="center"/>
    </xf>
    <xf numFmtId="0" fontId="19" fillId="0" borderId="11" xfId="0" applyFont="1" applyBorder="1">
      <alignment vertical="center"/>
    </xf>
    <xf numFmtId="0" fontId="44" fillId="12" borderId="11" xfId="0" applyFont="1" applyFill="1" applyBorder="1" applyAlignment="1">
      <alignment horizontal="center" vertical="center"/>
    </xf>
    <xf numFmtId="9" fontId="19" fillId="0" borderId="1" xfId="0" applyNumberFormat="1" applyFont="1" applyBorder="1" applyAlignment="1">
      <alignment horizontal="center" vertical="center"/>
    </xf>
    <xf numFmtId="0" fontId="51" fillId="0" borderId="1" xfId="0" applyFont="1" applyFill="1" applyBorder="1" applyAlignment="1">
      <alignment horizontal="center" vertical="center" wrapText="1"/>
    </xf>
    <xf numFmtId="184" fontId="19" fillId="0" borderId="1" xfId="0" applyNumberFormat="1" applyFont="1" applyBorder="1">
      <alignment vertical="center"/>
    </xf>
    <xf numFmtId="184" fontId="44" fillId="0" borderId="1" xfId="0" applyNumberFormat="1" applyFont="1" applyFill="1" applyBorder="1" applyAlignment="1">
      <alignment horizontal="center" vertical="center"/>
    </xf>
    <xf numFmtId="0" fontId="52" fillId="0" borderId="1" xfId="0" applyFont="1" applyBorder="1" applyAlignment="1">
      <alignment horizontal="center" vertical="center"/>
    </xf>
    <xf numFmtId="0" fontId="53" fillId="0" borderId="1" xfId="0" applyFont="1" applyBorder="1" applyAlignment="1">
      <alignment horizontal="center" vertical="center"/>
    </xf>
    <xf numFmtId="0" fontId="49" fillId="0" borderId="1" xfId="0" applyFont="1" applyFill="1" applyBorder="1" applyAlignment="1">
      <alignment vertical="center" wrapText="1"/>
    </xf>
    <xf numFmtId="0" fontId="53" fillId="0" borderId="1" xfId="0" applyFont="1" applyFill="1" applyBorder="1" applyAlignment="1">
      <alignment horizontal="center" vertical="center" wrapText="1"/>
    </xf>
    <xf numFmtId="0" fontId="54" fillId="0" borderId="1" xfId="0" applyFont="1" applyBorder="1" applyAlignment="1">
      <alignment horizontal="center" vertical="center"/>
    </xf>
    <xf numFmtId="0" fontId="2" fillId="0" borderId="1" xfId="0" applyFont="1" applyBorder="1">
      <alignment vertical="center"/>
    </xf>
    <xf numFmtId="9" fontId="2" fillId="0" borderId="1" xfId="0" applyNumberFormat="1" applyFont="1" applyBorder="1" applyAlignment="1">
      <alignment horizontal="center" vertical="center"/>
    </xf>
    <xf numFmtId="0" fontId="55" fillId="0" borderId="1" xfId="0" applyFont="1" applyBorder="1" applyAlignment="1">
      <alignment horizontal="center" vertical="center"/>
    </xf>
    <xf numFmtId="0" fontId="56" fillId="0" borderId="1" xfId="0" applyFont="1" applyFill="1" applyBorder="1" applyAlignment="1">
      <alignment horizontal="center" vertical="center" wrapText="1"/>
    </xf>
    <xf numFmtId="0" fontId="22" fillId="0" borderId="1" xfId="0" applyNumberFormat="1" applyFont="1" applyFill="1" applyBorder="1" applyAlignment="1" applyProtection="1">
      <alignment horizontal="center" vertical="center" wrapText="1"/>
    </xf>
    <xf numFmtId="0" fontId="57" fillId="0" borderId="0" xfId="0" applyFont="1">
      <alignment vertical="center"/>
    </xf>
    <xf numFmtId="0" fontId="0" fillId="0" borderId="0" xfId="0" applyAlignment="1">
      <alignment vertical="center"/>
    </xf>
    <xf numFmtId="0" fontId="56" fillId="8" borderId="1" xfId="0" applyFont="1" applyFill="1" applyBorder="1" applyAlignment="1">
      <alignment horizontal="center" vertical="center" wrapText="1"/>
    </xf>
    <xf numFmtId="0" fontId="56" fillId="25" borderId="1" xfId="0" applyFont="1" applyFill="1" applyBorder="1" applyAlignment="1">
      <alignment horizontal="center" vertical="center" wrapText="1"/>
    </xf>
    <xf numFmtId="0" fontId="28" fillId="0" borderId="1" xfId="0" applyFont="1" applyBorder="1" applyAlignment="1">
      <alignment horizontal="center" vertical="center"/>
    </xf>
    <xf numFmtId="0" fontId="58" fillId="0" borderId="1" xfId="0" applyFont="1" applyFill="1" applyBorder="1" applyAlignment="1">
      <alignment horizontal="center" vertical="center"/>
    </xf>
    <xf numFmtId="0" fontId="59" fillId="0" borderId="1" xfId="0" applyFont="1" applyFill="1" applyBorder="1" applyAlignment="1">
      <alignment horizontal="center" vertical="center" wrapText="1"/>
    </xf>
    <xf numFmtId="0" fontId="60" fillId="0" borderId="1" xfId="0" applyFont="1" applyFill="1" applyBorder="1" applyAlignment="1">
      <alignment horizontal="center" vertical="center" wrapText="1"/>
    </xf>
    <xf numFmtId="0" fontId="29" fillId="0" borderId="1" xfId="0" applyFont="1" applyBorder="1" applyAlignment="1">
      <alignment horizontal="center" vertical="center"/>
    </xf>
    <xf numFmtId="0" fontId="56" fillId="0" borderId="1" xfId="0" applyFont="1" applyBorder="1" applyAlignment="1">
      <alignment horizontal="center" vertical="center" wrapText="1"/>
    </xf>
    <xf numFmtId="184" fontId="56" fillId="0" borderId="1" xfId="0" applyNumberFormat="1" applyFont="1" applyBorder="1" applyAlignment="1">
      <alignment horizontal="center" vertical="center" wrapText="1"/>
    </xf>
    <xf numFmtId="0" fontId="0" fillId="0" borderId="0" xfId="0" applyFont="1" applyAlignment="1">
      <alignment horizontal="center" vertical="center" wrapText="1"/>
    </xf>
    <xf numFmtId="0" fontId="53" fillId="0" borderId="1" xfId="0" applyFont="1" applyBorder="1" applyAlignment="1">
      <alignment horizontal="center" vertical="center" wrapText="1"/>
    </xf>
    <xf numFmtId="184" fontId="53" fillId="0" borderId="1" xfId="0" applyNumberFormat="1" applyFont="1" applyBorder="1" applyAlignment="1">
      <alignment horizontal="center" vertical="center" wrapText="1"/>
    </xf>
    <xf numFmtId="9" fontId="53" fillId="0" borderId="1" xfId="3" applyFont="1" applyBorder="1" applyAlignment="1">
      <alignment horizontal="center" vertical="center" wrapText="1"/>
    </xf>
    <xf numFmtId="0" fontId="18" fillId="0" borderId="1" xfId="0" applyFont="1" applyBorder="1" applyAlignment="1">
      <alignment horizontal="left" vertical="center"/>
    </xf>
    <xf numFmtId="0" fontId="18" fillId="0" borderId="1" xfId="0" applyFont="1" applyBorder="1">
      <alignment vertical="center"/>
    </xf>
    <xf numFmtId="0" fontId="61" fillId="0" borderId="0" xfId="0" applyFont="1" applyAlignment="1">
      <alignment horizontal="justify" vertical="center" indent="2"/>
    </xf>
    <xf numFmtId="0" fontId="62" fillId="0" borderId="0" xfId="0" applyFont="1" applyAlignment="1">
      <alignment horizontal="justify" vertical="center" indent="2"/>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4" xfId="49"/>
    <cellStyle name="常规 15" xfId="50"/>
    <cellStyle name="常规 4" xfId="51"/>
    <cellStyle name="常规 2" xfId="52"/>
  </cellStyles>
  <dxfs count="7">
    <dxf>
      <font>
        <b val="1"/>
        <i val="0"/>
      </font>
      <fill>
        <patternFill patternType="solid">
          <bgColor rgb="FF92D050"/>
        </patternFill>
      </fill>
    </dxf>
    <dxf>
      <fill>
        <patternFill patternType="solid">
          <bgColor rgb="FFC00000"/>
        </patternFill>
      </fill>
    </dxf>
    <dxf>
      <fill>
        <patternFill patternType="solid">
          <bgColor rgb="FFFFC7CE"/>
        </patternFill>
      </fill>
    </dxf>
    <dxf>
      <font>
        <strike val="0"/>
        <color theme="1"/>
      </font>
      <fill>
        <patternFill patternType="solid">
          <bgColor rgb="FFC00000"/>
        </patternFill>
      </fill>
    </dxf>
    <dxf>
      <font>
        <strike val="0"/>
        <color theme="1"/>
      </font>
      <fill>
        <patternFill patternType="solid">
          <bgColor rgb="FFC00000"/>
        </patternFill>
      </fill>
    </dxf>
    <dxf>
      <font>
        <color rgb="FF006100"/>
      </font>
      <fill>
        <patternFill patternType="solid">
          <bgColor rgb="FFFF0000"/>
        </patternFill>
      </fill>
    </dxf>
    <dxf>
      <fill>
        <patternFill patternType="solid">
          <bgColor rgb="FFFF0000"/>
        </patternFill>
      </fill>
    </dxf>
  </dxfs>
  <tableStyles count="0" defaultTableStyle="TableStyleMedium2" defaultPivotStyle="PivotStyleLight16"/>
  <colors>
    <mruColors>
      <color rgb="00F68C8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www.wps.cn/officeDocument/2023/relationships/customStorage" Target="customStorage/customStorage.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customXml" Target="../customXml/item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2112169</xdr:colOff>
      <xdr:row>1</xdr:row>
      <xdr:rowOff>95250</xdr:rowOff>
    </xdr:from>
    <xdr:to>
      <xdr:col>2</xdr:col>
      <xdr:colOff>981075</xdr:colOff>
      <xdr:row>1</xdr:row>
      <xdr:rowOff>95250</xdr:rowOff>
    </xdr:to>
    <xdr:cxnSp>
      <xdr:nvCxnSpPr>
        <xdr:cNvPr id="2" name="直接箭头连接符 8"/>
        <xdr:cNvCxnSpPr/>
      </xdr:nvCxnSpPr>
      <xdr:spPr>
        <a:xfrm>
          <a:off x="2684145" y="273050"/>
          <a:ext cx="981075" cy="0"/>
        </a:xfrm>
        <a:prstGeom prst="straightConnector1">
          <a:avLst/>
        </a:prstGeom>
        <a:ln w="28575">
          <a:solidFill>
            <a:schemeClr val="tx1"/>
          </a:solidFill>
          <a:headEnd type="triangle"/>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332105</xdr:colOff>
      <xdr:row>4</xdr:row>
      <xdr:rowOff>47625</xdr:rowOff>
    </xdr:from>
    <xdr:to>
      <xdr:col>23</xdr:col>
      <xdr:colOff>332105</xdr:colOff>
      <xdr:row>33</xdr:row>
      <xdr:rowOff>57785</xdr:rowOff>
    </xdr:to>
    <xdr:pic>
      <xdr:nvPicPr>
        <xdr:cNvPr id="3" name="图片 2"/>
        <xdr:cNvPicPr>
          <a:picLocks noChangeAspect="1"/>
        </xdr:cNvPicPr>
      </xdr:nvPicPr>
      <xdr:blipFill>
        <a:blip r:embed="rId1"/>
        <a:stretch>
          <a:fillRect/>
        </a:stretch>
      </xdr:blipFill>
      <xdr:spPr>
        <a:xfrm>
          <a:off x="16046450" y="873125"/>
          <a:ext cx="5420360" cy="5820410"/>
        </a:xfrm>
        <a:prstGeom prst="rect">
          <a:avLst/>
        </a:prstGeom>
        <a:noFill/>
        <a:ln w="9525">
          <a:noFill/>
        </a:ln>
      </xdr:spPr>
    </xdr:pic>
    <xdr:clientData/>
  </xdr:twoCellAnchor>
  <xdr:twoCellAnchor>
    <xdr:from>
      <xdr:col>7</xdr:col>
      <xdr:colOff>175260</xdr:colOff>
      <xdr:row>4</xdr:row>
      <xdr:rowOff>21590</xdr:rowOff>
    </xdr:from>
    <xdr:to>
      <xdr:col>14</xdr:col>
      <xdr:colOff>100330</xdr:colOff>
      <xdr:row>10</xdr:row>
      <xdr:rowOff>184785</xdr:rowOff>
    </xdr:to>
    <xdr:pic>
      <xdr:nvPicPr>
        <xdr:cNvPr id="4" name="图片 22"/>
        <xdr:cNvPicPr>
          <a:picLocks noChangeAspect="1"/>
        </xdr:cNvPicPr>
      </xdr:nvPicPr>
      <xdr:blipFill>
        <a:blip r:embed="rId2"/>
        <a:srcRect t="10422"/>
        <a:stretch>
          <a:fillRect/>
        </a:stretch>
      </xdr:blipFill>
      <xdr:spPr>
        <a:xfrm>
          <a:off x="10164445" y="847090"/>
          <a:ext cx="4972685" cy="1306195"/>
        </a:xfrm>
        <a:prstGeom prst="rect">
          <a:avLst/>
        </a:prstGeom>
        <a:noFill/>
        <a:ln>
          <a:noFill/>
        </a:ln>
      </xdr:spPr>
    </xdr:pic>
    <xdr:clientData/>
  </xdr:twoCellAnchor>
  <xdr:twoCellAnchor editAs="oneCell">
    <xdr:from>
      <xdr:col>7</xdr:col>
      <xdr:colOff>17145</xdr:colOff>
      <xdr:row>17</xdr:row>
      <xdr:rowOff>58420</xdr:rowOff>
    </xdr:from>
    <xdr:to>
      <xdr:col>14</xdr:col>
      <xdr:colOff>47625</xdr:colOff>
      <xdr:row>22</xdr:row>
      <xdr:rowOff>76200</xdr:rowOff>
    </xdr:to>
    <xdr:pic>
      <xdr:nvPicPr>
        <xdr:cNvPr id="5" name="图片 4"/>
        <xdr:cNvPicPr>
          <a:picLocks noChangeAspect="1"/>
        </xdr:cNvPicPr>
      </xdr:nvPicPr>
      <xdr:blipFill>
        <a:blip r:embed="rId3"/>
        <a:stretch>
          <a:fillRect/>
        </a:stretch>
      </xdr:blipFill>
      <xdr:spPr>
        <a:xfrm>
          <a:off x="10006330" y="3709670"/>
          <a:ext cx="5078095" cy="970280"/>
        </a:xfrm>
        <a:prstGeom prst="rect">
          <a:avLst/>
        </a:prstGeom>
        <a:noFill/>
        <a:ln w="9525">
          <a:noFill/>
        </a:ln>
      </xdr:spPr>
    </xdr:pic>
    <xdr:clientData/>
  </xdr:twoCellAnchor>
  <xdr:twoCellAnchor editAs="oneCell">
    <xdr:from>
      <xdr:col>7</xdr:col>
      <xdr:colOff>49530</xdr:colOff>
      <xdr:row>28</xdr:row>
      <xdr:rowOff>67945</xdr:rowOff>
    </xdr:from>
    <xdr:to>
      <xdr:col>14</xdr:col>
      <xdr:colOff>125095</xdr:colOff>
      <xdr:row>35</xdr:row>
      <xdr:rowOff>34925</xdr:rowOff>
    </xdr:to>
    <xdr:pic>
      <xdr:nvPicPr>
        <xdr:cNvPr id="9" name="图片 8"/>
        <xdr:cNvPicPr>
          <a:picLocks noChangeAspect="1"/>
        </xdr:cNvPicPr>
      </xdr:nvPicPr>
      <xdr:blipFill>
        <a:blip r:embed="rId4"/>
        <a:stretch>
          <a:fillRect/>
        </a:stretch>
      </xdr:blipFill>
      <xdr:spPr>
        <a:xfrm>
          <a:off x="10038715" y="5776595"/>
          <a:ext cx="5123180" cy="1249680"/>
        </a:xfrm>
        <a:prstGeom prst="rect">
          <a:avLst/>
        </a:prstGeom>
        <a:noFill/>
        <a:ln w="9525">
          <a:noFill/>
        </a:ln>
      </xdr:spPr>
    </xdr:pic>
    <xdr:clientData/>
  </xdr:twoCellAnchor>
  <xdr:twoCellAnchor editAs="oneCell">
    <xdr:from>
      <xdr:col>7</xdr:col>
      <xdr:colOff>169545</xdr:colOff>
      <xdr:row>23</xdr:row>
      <xdr:rowOff>10160</xdr:rowOff>
    </xdr:from>
    <xdr:to>
      <xdr:col>14</xdr:col>
      <xdr:colOff>48895</xdr:colOff>
      <xdr:row>25</xdr:row>
      <xdr:rowOff>84455</xdr:rowOff>
    </xdr:to>
    <xdr:pic>
      <xdr:nvPicPr>
        <xdr:cNvPr id="10" name="图片 9"/>
        <xdr:cNvPicPr>
          <a:picLocks noChangeAspect="1"/>
        </xdr:cNvPicPr>
      </xdr:nvPicPr>
      <xdr:blipFill>
        <a:blip r:embed="rId5"/>
        <a:stretch>
          <a:fillRect/>
        </a:stretch>
      </xdr:blipFill>
      <xdr:spPr>
        <a:xfrm>
          <a:off x="10158730" y="4804410"/>
          <a:ext cx="4926965" cy="4552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36195</xdr:colOff>
      <xdr:row>98</xdr:row>
      <xdr:rowOff>0</xdr:rowOff>
    </xdr:from>
    <xdr:to>
      <xdr:col>19</xdr:col>
      <xdr:colOff>40640</xdr:colOff>
      <xdr:row>102</xdr:row>
      <xdr:rowOff>68580</xdr:rowOff>
    </xdr:to>
    <xdr:pic>
      <xdr:nvPicPr>
        <xdr:cNvPr id="2" name="图片 1"/>
        <xdr:cNvPicPr>
          <a:picLocks noChangeAspect="1"/>
        </xdr:cNvPicPr>
      </xdr:nvPicPr>
      <xdr:blipFill>
        <a:blip r:embed="rId1"/>
        <a:stretch>
          <a:fillRect/>
        </a:stretch>
      </xdr:blipFill>
      <xdr:spPr>
        <a:xfrm>
          <a:off x="13233400" y="18097500"/>
          <a:ext cx="4398645" cy="795020"/>
        </a:xfrm>
        <a:prstGeom prst="rect">
          <a:avLst/>
        </a:prstGeom>
        <a:noFill/>
        <a:ln w="9525">
          <a:noFill/>
        </a:ln>
      </xdr:spPr>
    </xdr:pic>
    <xdr:clientData/>
  </xdr:twoCellAnchor>
  <xdr:twoCellAnchor editAs="oneCell">
    <xdr:from>
      <xdr:col>13</xdr:col>
      <xdr:colOff>361950</xdr:colOff>
      <xdr:row>98</xdr:row>
      <xdr:rowOff>262890</xdr:rowOff>
    </xdr:from>
    <xdr:to>
      <xdr:col>17</xdr:col>
      <xdr:colOff>899160</xdr:colOff>
      <xdr:row>102</xdr:row>
      <xdr:rowOff>83820</xdr:rowOff>
    </xdr:to>
    <xdr:pic>
      <xdr:nvPicPr>
        <xdr:cNvPr id="3" name="图片 2"/>
        <xdr:cNvPicPr>
          <a:picLocks noChangeAspect="1"/>
        </xdr:cNvPicPr>
      </xdr:nvPicPr>
      <xdr:blipFill>
        <a:blip r:embed="rId2"/>
        <a:stretch>
          <a:fillRect/>
        </a:stretch>
      </xdr:blipFill>
      <xdr:spPr>
        <a:xfrm>
          <a:off x="13559155" y="18275300"/>
          <a:ext cx="3280410" cy="63246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31</xdr:col>
      <xdr:colOff>739140</xdr:colOff>
      <xdr:row>0</xdr:row>
      <xdr:rowOff>108585</xdr:rowOff>
    </xdr:from>
    <xdr:to>
      <xdr:col>32</xdr:col>
      <xdr:colOff>177165</xdr:colOff>
      <xdr:row>0</xdr:row>
      <xdr:rowOff>118110</xdr:rowOff>
    </xdr:to>
    <xdr:cxnSp>
      <xdr:nvCxnSpPr>
        <xdr:cNvPr id="2" name="直接箭头连接符 1"/>
        <xdr:cNvCxnSpPr/>
      </xdr:nvCxnSpPr>
      <xdr:spPr>
        <a:xfrm>
          <a:off x="18361660" y="108585"/>
          <a:ext cx="242570" cy="9525"/>
        </a:xfrm>
        <a:prstGeom prst="straightConnector1">
          <a:avLst/>
        </a:prstGeom>
        <a:ln w="25400">
          <a:solidFill>
            <a:schemeClr val="tx1"/>
          </a:solidFill>
          <a:headEnd type="ova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31</xdr:col>
      <xdr:colOff>614045</xdr:colOff>
      <xdr:row>57</xdr:row>
      <xdr:rowOff>152400</xdr:rowOff>
    </xdr:from>
    <xdr:to>
      <xdr:col>36</xdr:col>
      <xdr:colOff>910590</xdr:colOff>
      <xdr:row>66</xdr:row>
      <xdr:rowOff>92710</xdr:rowOff>
    </xdr:to>
    <xdr:pic>
      <xdr:nvPicPr>
        <xdr:cNvPr id="5" name="图片 4"/>
        <xdr:cNvPicPr>
          <a:picLocks noChangeAspect="1"/>
        </xdr:cNvPicPr>
      </xdr:nvPicPr>
      <xdr:blipFill>
        <a:blip r:embed="rId1"/>
        <a:stretch>
          <a:fillRect/>
        </a:stretch>
      </xdr:blipFill>
      <xdr:spPr>
        <a:xfrm>
          <a:off x="18236565" y="10490200"/>
          <a:ext cx="3895090" cy="1540510"/>
        </a:xfrm>
        <a:prstGeom prst="rect">
          <a:avLst/>
        </a:prstGeom>
        <a:noFill/>
        <a:ln w="9525">
          <a:noFill/>
        </a:ln>
      </xdr:spPr>
    </xdr:pic>
    <xdr:clientData/>
  </xdr:twoCellAnchor>
  <xdr:twoCellAnchor>
    <xdr:from>
      <xdr:col>0</xdr:col>
      <xdr:colOff>635</xdr:colOff>
      <xdr:row>37</xdr:row>
      <xdr:rowOff>43815</xdr:rowOff>
    </xdr:from>
    <xdr:to>
      <xdr:col>3</xdr:col>
      <xdr:colOff>536575</xdr:colOff>
      <xdr:row>49</xdr:row>
      <xdr:rowOff>109855</xdr:rowOff>
    </xdr:to>
    <xdr:pic>
      <xdr:nvPicPr>
        <xdr:cNvPr id="7" name="图片 2"/>
        <xdr:cNvPicPr>
          <a:picLocks noChangeAspect="1"/>
        </xdr:cNvPicPr>
      </xdr:nvPicPr>
      <xdr:blipFill>
        <a:blip r:embed="rId2"/>
        <a:stretch>
          <a:fillRect/>
        </a:stretch>
      </xdr:blipFill>
      <xdr:spPr>
        <a:xfrm>
          <a:off x="635" y="6266815"/>
          <a:ext cx="2392045" cy="2656840"/>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A1:T98"/>
  <sheetViews>
    <sheetView zoomScale="70" zoomScaleNormal="70" topLeftCell="D10" workbookViewId="0">
      <selection activeCell="A1" sqref="A1:E67"/>
    </sheetView>
  </sheetViews>
  <sheetFormatPr defaultColWidth="9" defaultRowHeight="14"/>
  <cols>
    <col min="2" max="2" width="27.5583333333333" customWidth="1"/>
    <col min="3" max="3" width="11.5583333333333" customWidth="1"/>
    <col min="4" max="4" width="13.225" customWidth="1"/>
    <col min="5" max="5" width="10.225" customWidth="1"/>
    <col min="7" max="7" width="5.66666666666667" customWidth="1"/>
    <col min="8" max="8" width="8.89166666666667" customWidth="1"/>
    <col min="9" max="9" width="15.775" customWidth="1"/>
    <col min="10" max="10" width="9.66666666666667" customWidth="1"/>
    <col min="11" max="11" width="14.1083333333333" customWidth="1"/>
    <col min="12" max="12" width="11.8916666666667" customWidth="1"/>
    <col min="13" max="13" width="14.1083333333333" customWidth="1"/>
    <col min="14" max="14" width="11.8916666666667" customWidth="1"/>
    <col min="15" max="15" width="45.5" customWidth="1"/>
    <col min="16" max="16" width="14.1083333333333" customWidth="1"/>
    <col min="17" max="17" width="11.8916666666667" customWidth="1"/>
  </cols>
  <sheetData>
    <row r="1" ht="14.4" customHeight="1" spans="1:5">
      <c r="A1" s="555" t="s">
        <v>0</v>
      </c>
      <c r="B1" s="555" t="s">
        <v>1</v>
      </c>
      <c r="C1" s="555" t="s">
        <v>2</v>
      </c>
      <c r="D1" s="555" t="s">
        <v>3</v>
      </c>
      <c r="E1" s="555" t="s">
        <v>4</v>
      </c>
    </row>
    <row r="2" spans="1:5">
      <c r="A2" s="556" t="s">
        <v>5</v>
      </c>
      <c r="B2" s="556" t="s">
        <v>6</v>
      </c>
      <c r="C2" s="556"/>
      <c r="D2" s="556"/>
      <c r="E2" s="556"/>
    </row>
    <row r="3" spans="1:5">
      <c r="A3" s="557" t="str">
        <f>总投资估算!A4</f>
        <v>（一）</v>
      </c>
      <c r="B3" s="558" t="str">
        <f>总投资估算!B4</f>
        <v>农村产业融合示范园</v>
      </c>
      <c r="C3" s="558"/>
      <c r="D3" s="559"/>
      <c r="E3" s="559"/>
    </row>
    <row r="4" s="275" customFormat="1" spans="1:20">
      <c r="A4" s="557">
        <f>总投资估算!A5</f>
        <v>1</v>
      </c>
      <c r="B4" s="558" t="str">
        <f>总投资估算!B5</f>
        <v>分拣仓库</v>
      </c>
      <c r="C4" s="558" t="str">
        <f>总投资估算!I6</f>
        <v>平方米</v>
      </c>
      <c r="D4" s="559">
        <f>总投资估算!J5</f>
        <v>1000</v>
      </c>
      <c r="E4" s="559"/>
      <c r="F4"/>
      <c r="G4"/>
      <c r="H4"/>
      <c r="I4"/>
      <c r="J4"/>
      <c r="K4"/>
      <c r="L4"/>
      <c r="M4"/>
      <c r="N4"/>
      <c r="O4"/>
      <c r="P4"/>
      <c r="Q4"/>
      <c r="R4"/>
      <c r="S4"/>
      <c r="T4"/>
    </row>
    <row r="5" hidden="1" spans="1:5">
      <c r="A5" s="557">
        <f>总投资估算!A6</f>
        <v>1.1</v>
      </c>
      <c r="B5" s="558" t="str">
        <f>总投资估算!B6</f>
        <v>土建工程</v>
      </c>
      <c r="C5" s="558" t="str">
        <f>总投资估算!I7</f>
        <v>平方米</v>
      </c>
      <c r="D5" s="559">
        <f>总投资估算!J6</f>
        <v>1000</v>
      </c>
      <c r="E5" s="560"/>
    </row>
    <row r="6" hidden="1" spans="1:5">
      <c r="A6" s="557">
        <f>总投资估算!A7</f>
        <v>1.2</v>
      </c>
      <c r="B6" s="558" t="str">
        <f>总投资估算!B7</f>
        <v>给排水工程</v>
      </c>
      <c r="C6" s="558" t="str">
        <f>总投资估算!I8</f>
        <v>平方米</v>
      </c>
      <c r="D6" s="559">
        <f>总投资估算!J7</f>
        <v>1000</v>
      </c>
      <c r="E6" s="560"/>
    </row>
    <row r="7" hidden="1" spans="1:5">
      <c r="A7" s="557">
        <f>总投资估算!A8</f>
        <v>1.3</v>
      </c>
      <c r="B7" s="558" t="str">
        <f>总投资估算!B8</f>
        <v>电气工程</v>
      </c>
      <c r="C7" s="558" t="str">
        <f>总投资估算!I9</f>
        <v>平方米</v>
      </c>
      <c r="D7" s="559">
        <f>总投资估算!J8</f>
        <v>1000</v>
      </c>
      <c r="E7" s="560"/>
    </row>
    <row r="8" hidden="1" spans="1:13">
      <c r="A8" s="557">
        <f>总投资估算!A9</f>
        <v>1.4</v>
      </c>
      <c r="B8" s="558" t="str">
        <f>总投资估算!B9</f>
        <v>消防工程</v>
      </c>
      <c r="C8" s="558" t="str">
        <f>总投资估算!I10</f>
        <v>平方米</v>
      </c>
      <c r="D8" s="559">
        <f>总投资估算!J9</f>
        <v>1000</v>
      </c>
      <c r="E8" s="560"/>
      <c r="G8" s="1" t="s">
        <v>7</v>
      </c>
      <c r="H8" s="1" t="s">
        <v>8</v>
      </c>
      <c r="I8" s="1" t="s">
        <v>9</v>
      </c>
      <c r="J8" s="1"/>
      <c r="K8" s="97" t="s">
        <v>10</v>
      </c>
      <c r="L8" s="98"/>
      <c r="M8" s="1" t="s">
        <v>11</v>
      </c>
    </row>
    <row r="9" hidden="1" spans="1:13">
      <c r="A9" s="557">
        <f>总投资估算!A10</f>
        <v>1.5</v>
      </c>
      <c r="B9" s="558" t="str">
        <f>总投资估算!B10</f>
        <v>暖通工程</v>
      </c>
      <c r="C9" s="558" t="str">
        <f>总投资估算!I11</f>
        <v>平方米</v>
      </c>
      <c r="D9" s="559">
        <f>总投资估算!J10</f>
        <v>1000</v>
      </c>
      <c r="E9" s="559"/>
      <c r="G9" s="1"/>
      <c r="H9" s="1"/>
      <c r="I9" s="1" t="s">
        <v>12</v>
      </c>
      <c r="J9" s="1" t="s">
        <v>13</v>
      </c>
      <c r="K9" s="1" t="s">
        <v>12</v>
      </c>
      <c r="L9" s="97" t="s">
        <v>13</v>
      </c>
      <c r="M9" s="1"/>
    </row>
    <row r="10" spans="1:13">
      <c r="A10" s="557">
        <f>总投资估算!A11</f>
        <v>2</v>
      </c>
      <c r="B10" s="558" t="str">
        <f>总投资估算!B11</f>
        <v>农产品加工厂房</v>
      </c>
      <c r="C10" s="558" t="str">
        <f>总投资估算!I12</f>
        <v>平方米</v>
      </c>
      <c r="D10" s="559">
        <f>总投资估算!J11</f>
        <v>1000</v>
      </c>
      <c r="E10" s="560"/>
      <c r="G10" s="1"/>
      <c r="H10" s="1"/>
      <c r="I10" s="1">
        <v>5</v>
      </c>
      <c r="J10" s="1">
        <v>4500</v>
      </c>
      <c r="K10" s="1">
        <v>15</v>
      </c>
      <c r="L10" s="97">
        <v>4000</v>
      </c>
      <c r="M10" s="46">
        <v>0.1</v>
      </c>
    </row>
    <row r="11" hidden="1" spans="1:5">
      <c r="A11" s="557">
        <f>总投资估算!A12</f>
        <v>2.1</v>
      </c>
      <c r="B11" s="558" t="str">
        <f>总投资估算!B12</f>
        <v>土建工程</v>
      </c>
      <c r="C11" s="558" t="str">
        <f>总投资估算!I13</f>
        <v>平方米</v>
      </c>
      <c r="D11" s="559">
        <f>总投资估算!J12</f>
        <v>1000</v>
      </c>
      <c r="E11" s="561"/>
    </row>
    <row r="12" hidden="1" spans="1:9">
      <c r="A12" s="557">
        <f>总投资估算!A13</f>
        <v>2.2</v>
      </c>
      <c r="B12" s="558" t="str">
        <f>总投资估算!B13</f>
        <v>给排水工程</v>
      </c>
      <c r="C12" s="558" t="str">
        <f>总投资估算!I14</f>
        <v>平方米</v>
      </c>
      <c r="D12" s="559">
        <f>总投资估算!J13</f>
        <v>1000</v>
      </c>
      <c r="E12" s="559"/>
      <c r="H12">
        <f>SUM(D5:D8)</f>
        <v>4000</v>
      </c>
      <c r="I12">
        <f>SUM(H12:H13)</f>
        <v>6000</v>
      </c>
    </row>
    <row r="13" hidden="1" spans="1:8">
      <c r="A13" s="557">
        <f>总投资估算!A14</f>
        <v>2.3</v>
      </c>
      <c r="B13" s="558" t="str">
        <f>总投资估算!B14</f>
        <v>电气工程</v>
      </c>
      <c r="C13" s="558" t="str">
        <f>总投资估算!I15</f>
        <v>平方米</v>
      </c>
      <c r="D13" s="559">
        <f>总投资估算!J14</f>
        <v>1000</v>
      </c>
      <c r="E13" s="559"/>
      <c r="H13">
        <f>SUM(D10:D11)</f>
        <v>2000</v>
      </c>
    </row>
    <row r="14" customFormat="1" hidden="1" spans="1:5">
      <c r="A14" s="557">
        <f>总投资估算!A15</f>
        <v>2.4</v>
      </c>
      <c r="B14" s="558" t="str">
        <f>总投资估算!B15</f>
        <v>消防工程</v>
      </c>
      <c r="C14" s="558" t="str">
        <f>总投资估算!I16</f>
        <v>平方米</v>
      </c>
      <c r="D14" s="559">
        <f>总投资估算!J15</f>
        <v>1000</v>
      </c>
      <c r="E14" s="559"/>
    </row>
    <row r="15" customFormat="1" hidden="1" spans="1:5">
      <c r="A15" s="557">
        <f>总投资估算!A16</f>
        <v>2.5</v>
      </c>
      <c r="B15" s="558" t="str">
        <f>总投资估算!B16</f>
        <v>暖通工程</v>
      </c>
      <c r="C15" s="558" t="str">
        <f>总投资估算!I17</f>
        <v>平方米</v>
      </c>
      <c r="D15" s="559">
        <f>总投资估算!J16</f>
        <v>1000</v>
      </c>
      <c r="E15" s="559"/>
    </row>
    <row r="16" customFormat="1" spans="1:5">
      <c r="A16" s="557">
        <f>总投资估算!A17</f>
        <v>3</v>
      </c>
      <c r="B16" s="558" t="str">
        <f>总投资估算!B17</f>
        <v>保鲜仓储中心</v>
      </c>
      <c r="C16" s="558" t="str">
        <f>总投资估算!I18</f>
        <v>平方米</v>
      </c>
      <c r="D16" s="559">
        <f>总投资估算!J17</f>
        <v>500</v>
      </c>
      <c r="E16" s="559"/>
    </row>
    <row r="17" customFormat="1" hidden="1" spans="1:5">
      <c r="A17" s="557">
        <f>总投资估算!A18</f>
        <v>3.1</v>
      </c>
      <c r="B17" s="558" t="str">
        <f>总投资估算!B18</f>
        <v>土建工程</v>
      </c>
      <c r="C17" s="558" t="str">
        <f>总投资估算!I19</f>
        <v>平方米</v>
      </c>
      <c r="D17" s="559">
        <f>总投资估算!J18</f>
        <v>500</v>
      </c>
      <c r="E17" s="559"/>
    </row>
    <row r="18" customFormat="1" hidden="1" spans="1:5">
      <c r="A18" s="557">
        <f>总投资估算!A19</f>
        <v>3.2</v>
      </c>
      <c r="B18" s="558" t="str">
        <f>总投资估算!B19</f>
        <v>给排水工程</v>
      </c>
      <c r="C18" s="558" t="str">
        <f>总投资估算!I20</f>
        <v>平方米</v>
      </c>
      <c r="D18" s="559">
        <f>总投资估算!J19</f>
        <v>500</v>
      </c>
      <c r="E18" s="559"/>
    </row>
    <row r="19" customFormat="1" hidden="1" spans="1:5">
      <c r="A19" s="557">
        <f>总投资估算!A20</f>
        <v>3.3</v>
      </c>
      <c r="B19" s="558" t="str">
        <f>总投资估算!B20</f>
        <v>电气工程</v>
      </c>
      <c r="C19" s="558" t="str">
        <f>总投资估算!I21</f>
        <v>平方米</v>
      </c>
      <c r="D19" s="559">
        <f>总投资估算!J20</f>
        <v>500</v>
      </c>
      <c r="E19" s="559"/>
    </row>
    <row r="20" customFormat="1" hidden="1" spans="1:5">
      <c r="A20" s="557">
        <f>总投资估算!A21</f>
        <v>3.4</v>
      </c>
      <c r="B20" s="558" t="str">
        <f>总投资估算!B21</f>
        <v>消防工程</v>
      </c>
      <c r="C20" s="558" t="str">
        <f>总投资估算!I22</f>
        <v>平方米</v>
      </c>
      <c r="D20" s="559">
        <f>总投资估算!J21</f>
        <v>500</v>
      </c>
      <c r="E20" s="559"/>
    </row>
    <row r="21" customFormat="1" hidden="1" spans="1:5">
      <c r="A21" s="557">
        <f>总投资估算!A22</f>
        <v>3.5</v>
      </c>
      <c r="B21" s="558" t="str">
        <f>总投资估算!B22</f>
        <v>暖通工程</v>
      </c>
      <c r="C21" s="558" t="str">
        <f>总投资估算!I23</f>
        <v>平方米</v>
      </c>
      <c r="D21" s="559">
        <f>总投资估算!J22</f>
        <v>500</v>
      </c>
      <c r="E21" s="559"/>
    </row>
    <row r="22" customFormat="1" spans="1:5">
      <c r="A22" s="557">
        <f>总投资估算!A23</f>
        <v>4</v>
      </c>
      <c r="B22" s="558" t="str">
        <f>总投资估算!B23</f>
        <v>实践教育综合基地</v>
      </c>
      <c r="C22" s="558" t="str">
        <f>总投资估算!I24</f>
        <v>平方米</v>
      </c>
      <c r="D22" s="559">
        <f>总投资估算!J23</f>
        <v>5300</v>
      </c>
      <c r="E22" s="559"/>
    </row>
    <row r="23" customFormat="1" hidden="1" spans="1:5">
      <c r="A23" s="557">
        <f>总投资估算!A24</f>
        <v>4.1</v>
      </c>
      <c r="B23" s="558" t="str">
        <f>总投资估算!B24</f>
        <v>土建工程</v>
      </c>
      <c r="C23" s="558" t="str">
        <f>总投资估算!I25</f>
        <v>平方米</v>
      </c>
      <c r="D23" s="559">
        <f>总投资估算!J24</f>
        <v>5300</v>
      </c>
      <c r="E23" s="559"/>
    </row>
    <row r="24" customFormat="1" hidden="1" spans="1:5">
      <c r="A24" s="557">
        <f>总投资估算!A25</f>
        <v>4.2</v>
      </c>
      <c r="B24" s="558" t="str">
        <f>总投资估算!B25</f>
        <v>给排水工程</v>
      </c>
      <c r="C24" s="558" t="str">
        <f>总投资估算!I26</f>
        <v>平方米</v>
      </c>
      <c r="D24" s="559">
        <f>总投资估算!J25</f>
        <v>5300</v>
      </c>
      <c r="E24" s="559"/>
    </row>
    <row r="25" customFormat="1" hidden="1" spans="1:5">
      <c r="A25" s="557">
        <f>总投资估算!A26</f>
        <v>4.3</v>
      </c>
      <c r="B25" s="558" t="str">
        <f>总投资估算!B26</f>
        <v>电气工程</v>
      </c>
      <c r="C25" s="558" t="str">
        <f>总投资估算!I27</f>
        <v>平方米</v>
      </c>
      <c r="D25" s="559">
        <f>总投资估算!J26</f>
        <v>5300</v>
      </c>
      <c r="E25" s="559"/>
    </row>
    <row r="26" customFormat="1" hidden="1" spans="1:5">
      <c r="A26" s="557">
        <f>总投资估算!A27</f>
        <v>4.4</v>
      </c>
      <c r="B26" s="558" t="str">
        <f>总投资估算!B27</f>
        <v>消防工程</v>
      </c>
      <c r="C26" s="558" t="str">
        <f>总投资估算!I28</f>
        <v>平方米</v>
      </c>
      <c r="D26" s="559">
        <f>总投资估算!J27</f>
        <v>5300</v>
      </c>
      <c r="E26" s="559"/>
    </row>
    <row r="27" customFormat="1" hidden="1" spans="1:5">
      <c r="A27" s="557">
        <f>总投资估算!A28</f>
        <v>4.5</v>
      </c>
      <c r="B27" s="558" t="str">
        <f>总投资估算!B28</f>
        <v>暖通工程</v>
      </c>
      <c r="C27" s="558" t="str">
        <f>总投资估算!I29</f>
        <v>平方米</v>
      </c>
      <c r="D27" s="559">
        <f>总投资估算!J28</f>
        <v>5300</v>
      </c>
      <c r="E27" s="559"/>
    </row>
    <row r="28" customFormat="1" spans="1:5">
      <c r="A28" s="557">
        <f>总投资估算!A29</f>
        <v>5</v>
      </c>
      <c r="B28" s="558" t="str">
        <f>总投资估算!B29</f>
        <v>农业技术推广中心</v>
      </c>
      <c r="C28" s="558" t="str">
        <f>总投资估算!I30</f>
        <v>平方米</v>
      </c>
      <c r="D28" s="559">
        <f>总投资估算!J29</f>
        <v>600</v>
      </c>
      <c r="E28" s="559"/>
    </row>
    <row r="29" customFormat="1" hidden="1" spans="1:5">
      <c r="A29" s="557">
        <f>总投资估算!A30</f>
        <v>5.1</v>
      </c>
      <c r="B29" s="558" t="str">
        <f>总投资估算!B30</f>
        <v>土建工程</v>
      </c>
      <c r="C29" s="558" t="str">
        <f>总投资估算!I31</f>
        <v>平方米</v>
      </c>
      <c r="D29" s="559">
        <f>总投资估算!J30</f>
        <v>600</v>
      </c>
      <c r="E29" s="559"/>
    </row>
    <row r="30" customFormat="1" hidden="1" spans="1:5">
      <c r="A30" s="557">
        <f>总投资估算!A31</f>
        <v>5.2</v>
      </c>
      <c r="B30" s="558" t="str">
        <f>总投资估算!B31</f>
        <v>给排水工程</v>
      </c>
      <c r="C30" s="558" t="str">
        <f>总投资估算!I32</f>
        <v>平方米</v>
      </c>
      <c r="D30" s="559">
        <f>总投资估算!J31</f>
        <v>600</v>
      </c>
      <c r="E30" s="559"/>
    </row>
    <row r="31" customFormat="1" hidden="1" spans="1:5">
      <c r="A31" s="557">
        <f>总投资估算!A32</f>
        <v>5.3</v>
      </c>
      <c r="B31" s="558" t="str">
        <f>总投资估算!B32</f>
        <v>电气工程</v>
      </c>
      <c r="C31" s="558" t="str">
        <f>总投资估算!I33</f>
        <v>平方米</v>
      </c>
      <c r="D31" s="559">
        <f>总投资估算!J32</f>
        <v>600</v>
      </c>
      <c r="E31" s="559"/>
    </row>
    <row r="32" customFormat="1" hidden="1" spans="1:5">
      <c r="A32" s="557">
        <f>总投资估算!A33</f>
        <v>5.4</v>
      </c>
      <c r="B32" s="558" t="str">
        <f>总投资估算!B33</f>
        <v>消防工程</v>
      </c>
      <c r="C32" s="558" t="str">
        <f>总投资估算!I34</f>
        <v>平方米</v>
      </c>
      <c r="D32" s="559">
        <f>总投资估算!J33</f>
        <v>600</v>
      </c>
      <c r="E32" s="559"/>
    </row>
    <row r="33" customFormat="1" hidden="1" spans="1:5">
      <c r="A33" s="557">
        <f>总投资估算!A34</f>
        <v>5.5</v>
      </c>
      <c r="B33" s="558" t="str">
        <f>总投资估算!B34</f>
        <v>暖通工程</v>
      </c>
      <c r="C33" s="558" t="str">
        <f>总投资估算!I35</f>
        <v>平方米</v>
      </c>
      <c r="D33" s="559">
        <f>总投资估算!J34</f>
        <v>600</v>
      </c>
      <c r="E33" s="559"/>
    </row>
    <row r="34" customFormat="1" spans="1:5">
      <c r="A34" s="557">
        <f>总投资估算!A35</f>
        <v>6</v>
      </c>
      <c r="B34" s="558" t="str">
        <f>总投资估算!B35</f>
        <v>创新创业孵化平台</v>
      </c>
      <c r="C34" s="558" t="str">
        <f>总投资估算!I36</f>
        <v>平方米</v>
      </c>
      <c r="D34" s="559">
        <f>总投资估算!J35</f>
        <v>20089</v>
      </c>
      <c r="E34" s="559"/>
    </row>
    <row r="35" customFormat="1" hidden="1" spans="1:5">
      <c r="A35" s="557">
        <f>总投资估算!A36</f>
        <v>6.1</v>
      </c>
      <c r="B35" s="558" t="str">
        <f>总投资估算!B36</f>
        <v>土建工程</v>
      </c>
      <c r="C35" s="558" t="str">
        <f>总投资估算!I37</f>
        <v>平方米</v>
      </c>
      <c r="D35" s="559">
        <f>总投资估算!J36</f>
        <v>20089</v>
      </c>
      <c r="E35" s="559"/>
    </row>
    <row r="36" customFormat="1" hidden="1" spans="1:5">
      <c r="A36" s="557">
        <f>总投资估算!A37</f>
        <v>6.2</v>
      </c>
      <c r="B36" s="558" t="str">
        <f>总投资估算!B37</f>
        <v>给排水工程</v>
      </c>
      <c r="C36" s="558" t="str">
        <f>总投资估算!I38</f>
        <v>平方米</v>
      </c>
      <c r="D36" s="559">
        <f>总投资估算!J37</f>
        <v>20089</v>
      </c>
      <c r="E36" s="559"/>
    </row>
    <row r="37" customFormat="1" hidden="1" spans="1:5">
      <c r="A37" s="557">
        <f>总投资估算!A38</f>
        <v>6.3</v>
      </c>
      <c r="B37" s="558" t="str">
        <f>总投资估算!B38</f>
        <v>电气工程</v>
      </c>
      <c r="C37" s="558" t="str">
        <f>总投资估算!I39</f>
        <v>平方米</v>
      </c>
      <c r="D37" s="559">
        <f>总投资估算!J38</f>
        <v>20089</v>
      </c>
      <c r="E37" s="559"/>
    </row>
    <row r="38" customFormat="1" hidden="1" spans="1:5">
      <c r="A38" s="557">
        <f>总投资估算!A39</f>
        <v>6.4</v>
      </c>
      <c r="B38" s="558" t="str">
        <f>总投资估算!B39</f>
        <v>消防工程</v>
      </c>
      <c r="C38" s="558" t="str">
        <f>总投资估算!I40</f>
        <v>平方米</v>
      </c>
      <c r="D38" s="559">
        <f>总投资估算!J39</f>
        <v>20089</v>
      </c>
      <c r="E38" s="559"/>
    </row>
    <row r="39" customFormat="1" hidden="1" spans="1:5">
      <c r="A39" s="557">
        <f>总投资估算!A40</f>
        <v>6.5</v>
      </c>
      <c r="B39" s="558" t="str">
        <f>总投资估算!B40</f>
        <v>暖通工程</v>
      </c>
      <c r="C39" s="558" t="str">
        <f>总投资估算!I41</f>
        <v>平方米</v>
      </c>
      <c r="D39" s="559">
        <f>总投资估算!J40</f>
        <v>20089</v>
      </c>
      <c r="E39" s="559"/>
    </row>
    <row r="40" customFormat="1" spans="1:5">
      <c r="A40" s="557">
        <f>总投资估算!A41</f>
        <v>7</v>
      </c>
      <c r="B40" s="558" t="str">
        <f>总投资估算!B41</f>
        <v>创新创业孵化平台地下停车场</v>
      </c>
      <c r="C40" s="558" t="str">
        <f>总投资估算!I42</f>
        <v>平方米</v>
      </c>
      <c r="D40" s="559">
        <f>总投资估算!J41</f>
        <v>6000</v>
      </c>
      <c r="E40" s="320" t="s">
        <v>14</v>
      </c>
    </row>
    <row r="41" customFormat="1" hidden="1" spans="1:5">
      <c r="A41" s="557">
        <f>总投资估算!A42</f>
        <v>7.1</v>
      </c>
      <c r="B41" s="558" t="str">
        <f>总投资估算!B42</f>
        <v>支护工程</v>
      </c>
      <c r="C41" s="558" t="str">
        <f>总投资估算!I43</f>
        <v>平方米</v>
      </c>
      <c r="D41" s="559">
        <f>总投资估算!J42</f>
        <v>6000</v>
      </c>
      <c r="E41" s="559"/>
    </row>
    <row r="42" customFormat="1" hidden="1" spans="1:5">
      <c r="A42" s="557">
        <f>总投资估算!A43</f>
        <v>7.2</v>
      </c>
      <c r="B42" s="558" t="str">
        <f>总投资估算!B43</f>
        <v>主体工程</v>
      </c>
      <c r="C42" s="558" t="str">
        <f>总投资估算!I45</f>
        <v>平方米</v>
      </c>
      <c r="D42" s="559">
        <f>总投资估算!J43</f>
        <v>6000</v>
      </c>
      <c r="E42" s="559"/>
    </row>
    <row r="43" customFormat="1" hidden="1" spans="1:5">
      <c r="A43" s="557">
        <f>总投资估算!A45</f>
        <v>9.2</v>
      </c>
      <c r="B43" s="558" t="str">
        <f>总投资估算!B45</f>
        <v>电气工程</v>
      </c>
      <c r="C43" s="558" t="str">
        <f>总投资估算!I46</f>
        <v>平方米</v>
      </c>
      <c r="D43" s="559">
        <f>总投资估算!J45</f>
        <v>6000</v>
      </c>
      <c r="E43" s="559"/>
    </row>
    <row r="44" customFormat="1" hidden="1" spans="1:5">
      <c r="A44" s="557">
        <f>总投资估算!A46</f>
        <v>7.4</v>
      </c>
      <c r="B44" s="558" t="str">
        <f>总投资估算!B46</f>
        <v>消防工程</v>
      </c>
      <c r="C44" s="558" t="str">
        <f>总投资估算!I47</f>
        <v>平方米</v>
      </c>
      <c r="D44" s="559">
        <f>总投资估算!J46</f>
        <v>6000</v>
      </c>
      <c r="E44" s="559"/>
    </row>
    <row r="45" customFormat="1" hidden="1" spans="1:5">
      <c r="A45" s="557">
        <f>总投资估算!A47</f>
        <v>7.5</v>
      </c>
      <c r="B45" s="558" t="str">
        <f>总投资估算!B47</f>
        <v>通风工程</v>
      </c>
      <c r="C45" s="558" t="str">
        <f>总投资估算!I48</f>
        <v>平方米</v>
      </c>
      <c r="D45" s="559">
        <f>总投资估算!J47</f>
        <v>6000</v>
      </c>
      <c r="E45" s="559"/>
    </row>
    <row r="46" customFormat="1" spans="1:5">
      <c r="A46" s="557">
        <f>总投资估算!A48</f>
        <v>8</v>
      </c>
      <c r="B46" s="558" t="str">
        <f>总投资估算!B48</f>
        <v>停车场</v>
      </c>
      <c r="C46" s="558" t="str">
        <f>总投资估算!I49</f>
        <v>平方米</v>
      </c>
      <c r="D46" s="559">
        <f>总投资估算!J48</f>
        <v>1050</v>
      </c>
      <c r="E46" s="320" t="s">
        <v>15</v>
      </c>
    </row>
    <row r="47" customFormat="1" hidden="1" spans="1:5">
      <c r="A47" s="557">
        <f>总投资估算!A49</f>
        <v>8.1</v>
      </c>
      <c r="B47" s="558" t="str">
        <f>总投资估算!B49</f>
        <v>场地铺装</v>
      </c>
      <c r="C47" s="558" t="str">
        <f>总投资估算!I50</f>
        <v>平方米</v>
      </c>
      <c r="D47" s="559">
        <f>总投资估算!J49</f>
        <v>1050</v>
      </c>
      <c r="E47" s="559"/>
    </row>
    <row r="48" customFormat="1" hidden="1" spans="1:5">
      <c r="A48" s="557">
        <f>总投资估算!A50</f>
        <v>8.2</v>
      </c>
      <c r="B48" s="558" t="str">
        <f>总投资估算!B50</f>
        <v>标线工程</v>
      </c>
      <c r="C48" s="558" t="str">
        <f>总投资估算!I51</f>
        <v>项</v>
      </c>
      <c r="D48" s="559">
        <f>总投资估算!J50</f>
        <v>1050</v>
      </c>
      <c r="E48" s="559"/>
    </row>
    <row r="49" customFormat="1" hidden="1" spans="1:5">
      <c r="A49" s="557">
        <f>总投资估算!A51</f>
        <v>8.3</v>
      </c>
      <c r="B49" s="558" t="str">
        <f>总投资估算!B51</f>
        <v>闸机及停车管理系统</v>
      </c>
      <c r="C49" s="558" t="str">
        <f>总投资估算!I52</f>
        <v>亩</v>
      </c>
      <c r="D49" s="559">
        <f>总投资估算!J51</f>
        <v>1</v>
      </c>
      <c r="E49" s="559"/>
    </row>
    <row r="50" customFormat="1" spans="1:5">
      <c r="A50" s="557">
        <f>总投资估算!A52</f>
        <v>9</v>
      </c>
      <c r="B50" s="558" t="str">
        <f>总投资估算!B52</f>
        <v>标准化农田</v>
      </c>
      <c r="C50" s="558" t="str">
        <f>总投资估算!I53</f>
        <v>亩</v>
      </c>
      <c r="D50" s="559">
        <f>总投资估算!J52</f>
        <v>73.86</v>
      </c>
      <c r="E50" s="559"/>
    </row>
    <row r="51" customFormat="1" hidden="1" spans="1:5">
      <c r="A51" s="557">
        <f>总投资估算!A53</f>
        <v>9.1</v>
      </c>
      <c r="B51" s="558" t="str">
        <f>总投资估算!B53</f>
        <v>土地平整</v>
      </c>
      <c r="C51" s="558" t="str">
        <f>总投资估算!I54</f>
        <v>亩</v>
      </c>
      <c r="D51" s="559">
        <f>总投资估算!J53</f>
        <v>73.86</v>
      </c>
      <c r="E51" s="559"/>
    </row>
    <row r="52" customFormat="1" hidden="1" spans="1:5">
      <c r="A52" s="557">
        <f>总投资估算!A54</f>
        <v>9.2</v>
      </c>
      <c r="B52" s="558" t="str">
        <f>总投资估算!B54</f>
        <v>挖壕打穴</v>
      </c>
      <c r="C52" s="558" t="str">
        <f>总投资估算!I55</f>
        <v>亩</v>
      </c>
      <c r="D52" s="559">
        <f>总投资估算!J54</f>
        <v>73.86</v>
      </c>
      <c r="E52" s="559"/>
    </row>
    <row r="53" customFormat="1" hidden="1" spans="1:5">
      <c r="A53" s="557">
        <f>总投资估算!A55</f>
        <v>9.3</v>
      </c>
      <c r="B53" s="558" t="str">
        <f>总投资估算!B55</f>
        <v> 水肥一体</v>
      </c>
      <c r="C53" s="558" t="str">
        <f>总投资估算!I56</f>
        <v>亩</v>
      </c>
      <c r="D53" s="559">
        <f>总投资估算!J55</f>
        <v>73.86</v>
      </c>
      <c r="E53" s="559"/>
    </row>
    <row r="54" customFormat="1" spans="1:5">
      <c r="A54" s="557">
        <f>总投资估算!A56</f>
        <v>10</v>
      </c>
      <c r="B54" s="558" t="str">
        <f>总投资估算!B56</f>
        <v>标准化高效栽培试验示范田</v>
      </c>
      <c r="C54" s="558" t="str">
        <f>总投资估算!I57</f>
        <v>亩</v>
      </c>
      <c r="D54" s="559">
        <f>总投资估算!J56</f>
        <v>20.45</v>
      </c>
      <c r="E54" s="559"/>
    </row>
    <row r="55" customFormat="1" hidden="1" spans="1:5">
      <c r="A55" s="557">
        <f>总投资估算!A57</f>
        <v>10.1</v>
      </c>
      <c r="B55" s="558" t="str">
        <f>总投资估算!B57</f>
        <v>土地平整</v>
      </c>
      <c r="C55" s="558" t="str">
        <f>总投资估算!I58</f>
        <v>亩</v>
      </c>
      <c r="D55" s="559">
        <f>总投资估算!J57</f>
        <v>20.45</v>
      </c>
      <c r="E55" s="559"/>
    </row>
    <row r="56" customFormat="1" hidden="1" spans="1:5">
      <c r="A56" s="557">
        <f>总投资估算!A58</f>
        <v>10.2</v>
      </c>
      <c r="B56" s="558" t="str">
        <f>总投资估算!B58</f>
        <v>挖壕打穴</v>
      </c>
      <c r="C56" s="558" t="str">
        <f>总投资估算!I59</f>
        <v>亩</v>
      </c>
      <c r="D56" s="559">
        <f>总投资估算!J58</f>
        <v>20.45</v>
      </c>
      <c r="E56" s="559"/>
    </row>
    <row r="57" customFormat="1" hidden="1" spans="1:5">
      <c r="A57" s="557">
        <f>总投资估算!A59</f>
        <v>10.3</v>
      </c>
      <c r="B57" s="558" t="str">
        <f>总投资估算!B59</f>
        <v> 水肥一体</v>
      </c>
      <c r="C57" s="558" t="str">
        <f>总投资估算!I60</f>
        <v>亩</v>
      </c>
      <c r="D57" s="559">
        <f>总投资估算!J59</f>
        <v>20.45</v>
      </c>
      <c r="E57" s="559"/>
    </row>
    <row r="58" customFormat="1" spans="1:5">
      <c r="A58" s="557">
        <f>总投资估算!A60</f>
        <v>11</v>
      </c>
      <c r="B58" s="558" t="str">
        <f>总投资估算!B60</f>
        <v>育苗基地</v>
      </c>
      <c r="C58" s="558" t="str">
        <f>总投资估算!I61</f>
        <v>亩</v>
      </c>
      <c r="D58" s="559">
        <f>总投资估算!J60</f>
        <v>19.46</v>
      </c>
      <c r="E58" s="559"/>
    </row>
    <row r="59" customFormat="1" hidden="1" spans="1:5">
      <c r="A59" s="557">
        <f>总投资估算!A61</f>
        <v>11.1</v>
      </c>
      <c r="B59" s="558" t="str">
        <f>总投资估算!B61</f>
        <v>土地平整</v>
      </c>
      <c r="C59" s="558" t="str">
        <f>总投资估算!I62</f>
        <v>亩</v>
      </c>
      <c r="D59" s="559">
        <f>总投资估算!J61</f>
        <v>19.46</v>
      </c>
      <c r="E59" s="559"/>
    </row>
    <row r="60" customFormat="1" hidden="1" spans="1:5">
      <c r="A60" s="557">
        <f>总投资估算!A62</f>
        <v>11.2</v>
      </c>
      <c r="B60" s="558" t="str">
        <f>总投资估算!B62</f>
        <v>挖壕打穴</v>
      </c>
      <c r="C60" s="558" t="str">
        <f>总投资估算!I63</f>
        <v>亩</v>
      </c>
      <c r="D60" s="559">
        <f>总投资估算!J62</f>
        <v>19.46</v>
      </c>
      <c r="E60" s="559"/>
    </row>
    <row r="61" customFormat="1" hidden="1" spans="1:5">
      <c r="A61" s="557">
        <f>总投资估算!A63</f>
        <v>11.3</v>
      </c>
      <c r="B61" s="558" t="str">
        <f>总投资估算!B63</f>
        <v> 水肥一体</v>
      </c>
      <c r="C61" s="558" t="str">
        <f>总投资估算!I64</f>
        <v>项</v>
      </c>
      <c r="D61" s="559">
        <f>总投资估算!J63</f>
        <v>19.46</v>
      </c>
      <c r="E61" s="559"/>
    </row>
    <row r="62" customFormat="1" spans="1:5">
      <c r="A62" s="557" t="str">
        <f>总投资估算!A64</f>
        <v>（二）</v>
      </c>
      <c r="B62" s="558" t="str">
        <f>总投资估算!B64</f>
        <v>附属配套工程</v>
      </c>
      <c r="C62" s="558"/>
      <c r="D62" s="559"/>
      <c r="E62" s="559"/>
    </row>
    <row r="63" customFormat="1" spans="1:5">
      <c r="A63" s="557">
        <f>总投资估算!A65</f>
        <v>1</v>
      </c>
      <c r="B63" s="558" t="str">
        <f>总投资估算!B65</f>
        <v>供配电系统</v>
      </c>
      <c r="C63" s="558" t="str">
        <f>总投资估算!I66</f>
        <v>项</v>
      </c>
      <c r="D63" s="559">
        <f>总投资估算!J65</f>
        <v>1</v>
      </c>
      <c r="E63" s="559"/>
    </row>
    <row r="64" customFormat="1" spans="1:5">
      <c r="A64" s="557">
        <f>总投资估算!A66</f>
        <v>2</v>
      </c>
      <c r="B64" s="558" t="str">
        <f>总投资估算!B66</f>
        <v>室外给排水工程</v>
      </c>
      <c r="C64" s="558" t="str">
        <f>总投资估算!I67</f>
        <v>项</v>
      </c>
      <c r="D64" s="559">
        <f>总投资估算!J66</f>
        <v>1</v>
      </c>
      <c r="E64" s="559"/>
    </row>
    <row r="65" customFormat="1" spans="1:5">
      <c r="A65" s="557">
        <f>总投资估算!A67</f>
        <v>3</v>
      </c>
      <c r="B65" s="558" t="str">
        <f>总投资估算!B67</f>
        <v>室外消防工程</v>
      </c>
      <c r="C65" s="558" t="str">
        <f>总投资估算!I68</f>
        <v>项</v>
      </c>
      <c r="D65" s="559">
        <f>总投资估算!J67</f>
        <v>1</v>
      </c>
      <c r="E65" s="559"/>
    </row>
    <row r="66" customFormat="1" spans="1:5">
      <c r="A66" s="557">
        <f>总投资估算!A68</f>
        <v>4</v>
      </c>
      <c r="B66" s="558" t="str">
        <f>总投资估算!B68</f>
        <v>通信工程</v>
      </c>
      <c r="C66" s="558" t="str">
        <f>总投资估算!I69</f>
        <v>项</v>
      </c>
      <c r="D66" s="559">
        <f>总投资估算!J68</f>
        <v>1</v>
      </c>
      <c r="E66" s="559"/>
    </row>
    <row r="67" s="275" customFormat="1" spans="1:5">
      <c r="A67" s="557">
        <f>总投资估算!A69</f>
        <v>5</v>
      </c>
      <c r="B67" s="558" t="str">
        <f>总投资估算!B69</f>
        <v>其他配套工程</v>
      </c>
      <c r="C67" s="558" t="s">
        <v>16</v>
      </c>
      <c r="D67" s="559">
        <f>总投资估算!J69</f>
        <v>1</v>
      </c>
      <c r="E67" s="559"/>
    </row>
    <row r="68" s="275" customFormat="1" spans="1:5">
      <c r="A68" s="556" t="s">
        <v>17</v>
      </c>
      <c r="B68" s="556" t="s">
        <v>18</v>
      </c>
      <c r="C68" s="556"/>
      <c r="D68" s="556"/>
      <c r="E68" s="556"/>
    </row>
    <row r="69" s="275" customFormat="1" spans="1:12">
      <c r="A69" s="562">
        <v>1</v>
      </c>
      <c r="B69" s="562" t="s">
        <v>19</v>
      </c>
      <c r="C69" s="562" t="s">
        <v>20</v>
      </c>
      <c r="D69" s="563">
        <f>总投资估算!G95</f>
        <v>22000</v>
      </c>
      <c r="E69" s="562"/>
      <c r="H69" s="564" t="s">
        <v>21</v>
      </c>
      <c r="I69" s="500"/>
      <c r="J69" s="500"/>
      <c r="K69" s="500"/>
      <c r="L69" s="500"/>
    </row>
    <row r="70" spans="1:12">
      <c r="A70" s="565">
        <v>1.1</v>
      </c>
      <c r="B70" s="565" t="s">
        <v>22</v>
      </c>
      <c r="C70" s="565" t="s">
        <v>20</v>
      </c>
      <c r="D70" s="566">
        <f>D71+D72</f>
        <v>17385.78</v>
      </c>
      <c r="E70" s="565"/>
      <c r="H70" s="500"/>
      <c r="I70" s="500"/>
      <c r="J70" s="500"/>
      <c r="K70" s="500"/>
      <c r="L70" s="500"/>
    </row>
    <row r="71" spans="1:12">
      <c r="A71" s="565" t="s">
        <v>23</v>
      </c>
      <c r="B71" s="565" t="s">
        <v>24</v>
      </c>
      <c r="C71" s="565" t="s">
        <v>20</v>
      </c>
      <c r="D71" s="566">
        <f>总投资估算!C3+总投资估算!D3</f>
        <v>17385.78</v>
      </c>
      <c r="E71" s="565"/>
      <c r="H71" s="500"/>
      <c r="I71" s="500"/>
      <c r="J71" s="500"/>
      <c r="K71" s="500"/>
      <c r="L71" s="500"/>
    </row>
    <row r="72" spans="1:12">
      <c r="A72" s="565" t="s">
        <v>25</v>
      </c>
      <c r="B72" s="565" t="s">
        <v>26</v>
      </c>
      <c r="C72" s="565" t="s">
        <v>20</v>
      </c>
      <c r="D72" s="566">
        <f>总投资估算!E3</f>
        <v>0</v>
      </c>
      <c r="E72" s="565"/>
      <c r="H72" s="500"/>
      <c r="I72" s="500"/>
      <c r="J72" s="500"/>
      <c r="K72" s="500"/>
      <c r="L72" s="500"/>
    </row>
    <row r="73" spans="1:12">
      <c r="A73" s="565">
        <v>1.2</v>
      </c>
      <c r="B73" s="565" t="s">
        <v>27</v>
      </c>
      <c r="C73" s="565" t="s">
        <v>20</v>
      </c>
      <c r="D73" s="566">
        <f>总投资估算!G70</f>
        <v>2754.06</v>
      </c>
      <c r="E73" s="565"/>
      <c r="H73" s="500"/>
      <c r="I73" s="500"/>
      <c r="J73" s="500"/>
      <c r="K73" s="500"/>
      <c r="L73" s="500"/>
    </row>
    <row r="74" spans="1:12">
      <c r="A74" s="565">
        <v>1.3</v>
      </c>
      <c r="B74" s="565" t="s">
        <v>28</v>
      </c>
      <c r="C74" s="565" t="s">
        <v>20</v>
      </c>
      <c r="D74" s="566">
        <f>总投资估算!G90</f>
        <v>1590.16</v>
      </c>
      <c r="E74" s="565"/>
      <c r="H74" s="500"/>
      <c r="I74" s="500"/>
      <c r="J74" s="500"/>
      <c r="K74" s="500"/>
      <c r="L74" s="500"/>
    </row>
    <row r="75" spans="1:12">
      <c r="A75" s="565">
        <v>1.4</v>
      </c>
      <c r="B75" s="565" t="s">
        <v>29</v>
      </c>
      <c r="C75" s="565" t="s">
        <v>20</v>
      </c>
      <c r="D75" s="566">
        <f>总投资估算!G94</f>
        <v>270</v>
      </c>
      <c r="E75" s="565"/>
      <c r="H75" s="500"/>
      <c r="I75" s="500"/>
      <c r="J75" s="500"/>
      <c r="K75" s="500"/>
      <c r="L75" s="500"/>
    </row>
    <row r="76" spans="1:12">
      <c r="A76" s="562">
        <v>2</v>
      </c>
      <c r="B76" s="562" t="s">
        <v>30</v>
      </c>
      <c r="C76" s="562" t="s">
        <v>20</v>
      </c>
      <c r="D76" s="563">
        <f>SUM(D77:D78)</f>
        <v>22000</v>
      </c>
      <c r="E76" s="562"/>
      <c r="H76" s="500"/>
      <c r="I76" s="500"/>
      <c r="J76" s="500"/>
      <c r="K76" s="500"/>
      <c r="L76" s="500"/>
    </row>
    <row r="77" spans="1:12">
      <c r="A77" s="565">
        <v>2.1</v>
      </c>
      <c r="B77" s="565" t="s">
        <v>31</v>
      </c>
      <c r="C77" s="565" t="s">
        <v>20</v>
      </c>
      <c r="D77" s="566">
        <f>分年计划及建设期利息!G2</f>
        <v>13000</v>
      </c>
      <c r="E77" s="567">
        <f>D77/$D$76</f>
        <v>0.590909090909091</v>
      </c>
      <c r="H77" s="500"/>
      <c r="I77" s="500"/>
      <c r="J77" s="500"/>
      <c r="K77" s="500"/>
      <c r="L77" s="500"/>
    </row>
    <row r="78" spans="1:5">
      <c r="A78" s="565">
        <v>2.2</v>
      </c>
      <c r="B78" s="565" t="s">
        <v>32</v>
      </c>
      <c r="C78" s="565" t="s">
        <v>20</v>
      </c>
      <c r="D78" s="566">
        <f>资金平衡表!C36</f>
        <v>9000</v>
      </c>
      <c r="E78" s="567">
        <f>D78/$D$76</f>
        <v>0.409090909090909</v>
      </c>
    </row>
    <row r="79" spans="1:5">
      <c r="A79" s="562">
        <v>3</v>
      </c>
      <c r="B79" s="562" t="s">
        <v>33</v>
      </c>
      <c r="C79" s="562" t="s">
        <v>20</v>
      </c>
      <c r="D79" s="563">
        <f>AVERAGE(收入成本!Z6:Z35)</f>
        <v>1123.466</v>
      </c>
      <c r="E79" s="562"/>
    </row>
    <row r="80" spans="1:5">
      <c r="A80" s="562">
        <v>4</v>
      </c>
      <c r="B80" s="562" t="s">
        <v>34</v>
      </c>
      <c r="C80" s="562" t="s">
        <v>20</v>
      </c>
      <c r="D80" s="563">
        <f>AVERAGE(收入成本!AJ6:AJ35)</f>
        <v>172.963929136349</v>
      </c>
      <c r="E80" s="562"/>
    </row>
    <row r="81" spans="1:5">
      <c r="A81" s="562">
        <v>5</v>
      </c>
      <c r="B81" s="562" t="s">
        <v>35</v>
      </c>
      <c r="C81" s="562" t="s">
        <v>20</v>
      </c>
      <c r="D81" s="563">
        <f>资金平衡表!F36</f>
        <v>34395.05</v>
      </c>
      <c r="E81" s="562"/>
    </row>
    <row r="82" spans="1:5">
      <c r="A82" s="562">
        <v>6</v>
      </c>
      <c r="B82" s="562" t="s">
        <v>36</v>
      </c>
      <c r="C82" s="562" t="s">
        <v>20</v>
      </c>
      <c r="D82" s="563">
        <f>资金平衡表!H36</f>
        <v>12303.77</v>
      </c>
      <c r="E82" s="562"/>
    </row>
    <row r="83" spans="1:5">
      <c r="A83" s="562">
        <v>7</v>
      </c>
      <c r="B83" s="562" t="s">
        <v>37</v>
      </c>
      <c r="C83" s="562" t="s">
        <v>20</v>
      </c>
      <c r="D83" s="563">
        <f>资金平衡表!J36</f>
        <v>22091.28</v>
      </c>
      <c r="E83" s="562"/>
    </row>
    <row r="84" spans="1:5">
      <c r="A84" s="562">
        <v>8</v>
      </c>
      <c r="B84" s="562" t="s">
        <v>38</v>
      </c>
      <c r="C84" s="562" t="s">
        <v>39</v>
      </c>
      <c r="D84" s="563">
        <f>资金平衡表!J37</f>
        <v>1.29</v>
      </c>
      <c r="E84" s="568" t="s">
        <v>40</v>
      </c>
    </row>
    <row r="85" spans="2:5">
      <c r="B85" s="548"/>
      <c r="C85" s="548"/>
      <c r="D85" s="208">
        <f>资金平衡表!K37</f>
        <v>1.09</v>
      </c>
      <c r="E85" s="569" t="str">
        <f>资金平衡表!K2</f>
        <v>收入下降10%</v>
      </c>
    </row>
    <row r="86" spans="1:5">
      <c r="A86" s="548"/>
      <c r="B86" s="548"/>
      <c r="C86" s="548"/>
      <c r="D86" s="208">
        <f>资金平衡表!L37</f>
        <v>1.25</v>
      </c>
      <c r="E86" s="569" t="str">
        <f>资金平衡表!L2</f>
        <v>成本上升10%</v>
      </c>
    </row>
    <row r="87" spans="1:5">
      <c r="A87" s="548"/>
      <c r="B87" s="548"/>
      <c r="C87" s="548"/>
      <c r="D87" s="208">
        <f>资金平衡表!M37</f>
        <v>1.05</v>
      </c>
      <c r="E87" s="569" t="str">
        <f>资金平衡表!M2</f>
        <v>收入下降10%且成本上升10%</v>
      </c>
    </row>
    <row r="88" spans="1:1">
      <c r="A88" s="548"/>
    </row>
    <row r="92" spans="8:8">
      <c r="H92" s="275"/>
    </row>
    <row r="93" ht="157" customHeight="1" spans="2:15">
      <c r="B93" s="570" t="s">
        <v>41</v>
      </c>
      <c r="C93" s="571" t="s">
        <v>42</v>
      </c>
      <c r="D93" s="570" t="s">
        <v>43</v>
      </c>
      <c r="E93" s="570" t="s">
        <v>44</v>
      </c>
      <c r="O93" s="11" t="s">
        <v>45</v>
      </c>
    </row>
    <row r="98" spans="15:15">
      <c r="O98">
        <f>1302695/666.67</f>
        <v>1954.03272983635</v>
      </c>
    </row>
  </sheetData>
  <mergeCells count="8">
    <mergeCell ref="B2:E2"/>
    <mergeCell ref="I8:J8"/>
    <mergeCell ref="K8:L8"/>
    <mergeCell ref="B68:E68"/>
    <mergeCell ref="G8:G10"/>
    <mergeCell ref="H8:H10"/>
    <mergeCell ref="M8:M9"/>
    <mergeCell ref="H69:L77"/>
  </mergeCells>
  <conditionalFormatting sqref="D84:D87">
    <cfRule type="cellIs" dxfId="0" priority="1" operator="greaterThanOrEqual">
      <formula>1.31</formula>
    </cfRule>
    <cfRule type="cellIs" dxfId="1" priority="2" operator="lessThan">
      <formula>1.31</formula>
    </cfRule>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0"/>
  <sheetViews>
    <sheetView zoomScale="70" zoomScaleNormal="70" workbookViewId="0">
      <selection activeCell="F22" sqref="F22"/>
    </sheetView>
  </sheetViews>
  <sheetFormatPr defaultColWidth="8.89166666666667" defaultRowHeight="14"/>
  <cols>
    <col min="1" max="1" width="11" customWidth="1"/>
    <col min="2" max="2" width="24.225" customWidth="1"/>
    <col min="3" max="3" width="30.225" customWidth="1"/>
    <col min="4" max="5" width="16.3333333333333" customWidth="1"/>
    <col min="6" max="6" width="13.1083333333333" customWidth="1"/>
    <col min="7" max="7" width="19.8666666666667" customWidth="1"/>
    <col min="13" max="13" width="12.8916666666667"/>
  </cols>
  <sheetData>
    <row r="1" spans="1:7">
      <c r="A1" s="514"/>
      <c r="B1" s="515"/>
      <c r="C1" s="516" t="s">
        <v>46</v>
      </c>
      <c r="D1" s="516"/>
      <c r="E1" s="516"/>
      <c r="F1" s="516"/>
      <c r="G1" s="514"/>
    </row>
    <row r="2" ht="21" customHeight="1" spans="1:7">
      <c r="A2" s="514"/>
      <c r="B2" s="517"/>
      <c r="C2" s="516"/>
      <c r="D2" s="516"/>
      <c r="E2" s="516"/>
      <c r="F2" s="516"/>
      <c r="G2" s="514"/>
    </row>
    <row r="3" ht="15" spans="1:7">
      <c r="A3" s="514"/>
      <c r="B3" s="518" t="s">
        <v>47</v>
      </c>
      <c r="C3" s="518"/>
      <c r="D3" s="518"/>
      <c r="E3" s="518"/>
      <c r="F3" s="519"/>
      <c r="G3" s="514"/>
    </row>
    <row r="4" ht="15" spans="1:21">
      <c r="A4" s="520" t="s">
        <v>48</v>
      </c>
      <c r="B4" s="521"/>
      <c r="C4" s="521"/>
      <c r="D4" s="521"/>
      <c r="E4" s="521"/>
      <c r="F4" s="521"/>
      <c r="G4" s="521"/>
      <c r="J4" s="9" t="s">
        <v>49</v>
      </c>
      <c r="K4" s="9"/>
      <c r="L4" s="9"/>
      <c r="S4" s="9" t="s">
        <v>50</v>
      </c>
      <c r="T4" s="9"/>
      <c r="U4" s="9"/>
    </row>
    <row r="5" ht="15" spans="1:13">
      <c r="A5" s="522" t="s">
        <v>0</v>
      </c>
      <c r="B5" s="522" t="s">
        <v>51</v>
      </c>
      <c r="C5" s="522" t="s">
        <v>52</v>
      </c>
      <c r="D5" s="523" t="s">
        <v>53</v>
      </c>
      <c r="E5" s="523" t="s">
        <v>2</v>
      </c>
      <c r="F5" s="523" t="s">
        <v>54</v>
      </c>
      <c r="G5" s="523" t="s">
        <v>4</v>
      </c>
      <c r="K5" s="554"/>
      <c r="L5" s="554"/>
      <c r="M5" s="554"/>
    </row>
    <row r="6" ht="15" spans="1:7">
      <c r="A6" s="524">
        <v>1</v>
      </c>
      <c r="B6" s="525" t="s">
        <v>55</v>
      </c>
      <c r="C6" s="526" t="s">
        <v>56</v>
      </c>
      <c r="D6" s="212">
        <f>1.5+(F11/10000-1)*((6-1.5)/(5-1))</f>
        <v>5.325</v>
      </c>
      <c r="E6" s="212" t="s">
        <v>57</v>
      </c>
      <c r="F6" s="527"/>
      <c r="G6" s="528" t="s">
        <v>58</v>
      </c>
    </row>
    <row r="7" ht="15" spans="1:7">
      <c r="A7" s="524">
        <v>1.1</v>
      </c>
      <c r="B7" s="525" t="s">
        <v>59</v>
      </c>
      <c r="C7" s="529" t="s">
        <v>60</v>
      </c>
      <c r="D7" s="530">
        <f>G60/10000</f>
        <v>28.4983</v>
      </c>
      <c r="E7" s="212" t="s">
        <v>61</v>
      </c>
      <c r="F7" s="525"/>
      <c r="G7" s="528"/>
    </row>
    <row r="8" ht="15" spans="1:7">
      <c r="A8" s="524">
        <v>1.2</v>
      </c>
      <c r="B8" s="525" t="s">
        <v>62</v>
      </c>
      <c r="C8" s="529" t="s">
        <v>63</v>
      </c>
      <c r="D8" s="530">
        <v>200</v>
      </c>
      <c r="E8" s="212" t="s">
        <v>64</v>
      </c>
      <c r="F8" s="527"/>
      <c r="G8" s="528"/>
    </row>
    <row r="9" ht="15" spans="1:7">
      <c r="A9" s="524">
        <v>1.3</v>
      </c>
      <c r="B9" s="525" t="s">
        <v>65</v>
      </c>
      <c r="C9" s="529" t="s">
        <v>66</v>
      </c>
      <c r="D9" s="530">
        <v>0.85</v>
      </c>
      <c r="E9" s="212"/>
      <c r="F9" s="527"/>
      <c r="G9" s="528"/>
    </row>
    <row r="10" ht="15" spans="1:7">
      <c r="A10" s="524">
        <v>1.4</v>
      </c>
      <c r="B10" s="525" t="s">
        <v>67</v>
      </c>
      <c r="C10" s="529" t="s">
        <v>68</v>
      </c>
      <c r="D10" s="530">
        <v>0.9</v>
      </c>
      <c r="E10" s="212"/>
      <c r="F10" s="527"/>
      <c r="G10" s="528"/>
    </row>
    <row r="11" ht="15" spans="1:7">
      <c r="A11" s="524">
        <v>1.5</v>
      </c>
      <c r="B11" s="525" t="s">
        <v>69</v>
      </c>
      <c r="C11" s="529"/>
      <c r="D11" s="212">
        <f>D7*D8*D9*D10*10000/1000</f>
        <v>43602.399</v>
      </c>
      <c r="E11" s="212" t="s">
        <v>70</v>
      </c>
      <c r="F11" s="531">
        <v>44000</v>
      </c>
      <c r="G11" s="528"/>
    </row>
    <row r="12" ht="15" spans="1:7">
      <c r="A12" s="524">
        <v>1.6</v>
      </c>
      <c r="B12" s="525" t="s">
        <v>71</v>
      </c>
      <c r="C12" s="532" t="s">
        <v>72</v>
      </c>
      <c r="D12" s="533">
        <v>0.75</v>
      </c>
      <c r="E12" s="527"/>
      <c r="F12" s="527"/>
      <c r="G12" s="528"/>
    </row>
    <row r="13" ht="15" spans="1:7">
      <c r="A13" s="524">
        <v>2</v>
      </c>
      <c r="B13" s="525" t="s">
        <v>73</v>
      </c>
      <c r="C13" s="526" t="s">
        <v>74</v>
      </c>
      <c r="D13" s="534">
        <f>800+(F15-0.1)*(2500-800)/(1-0.1)</f>
        <v>2122.22222222222</v>
      </c>
      <c r="E13" s="212" t="s">
        <v>75</v>
      </c>
      <c r="F13" s="525"/>
      <c r="G13" s="528"/>
    </row>
    <row r="14" ht="15" spans="1:9">
      <c r="A14" s="524">
        <v>2.1</v>
      </c>
      <c r="B14" s="525" t="s">
        <v>71</v>
      </c>
      <c r="C14" s="532" t="s">
        <v>72</v>
      </c>
      <c r="D14" s="535">
        <f>F28/D13</f>
        <v>0.848167539267016</v>
      </c>
      <c r="E14" s="527"/>
      <c r="F14" s="525"/>
      <c r="G14" s="528"/>
      <c r="I14" t="s">
        <v>76</v>
      </c>
    </row>
    <row r="15" ht="40" customHeight="1" spans="1:7">
      <c r="A15" s="524">
        <v>2.2</v>
      </c>
      <c r="B15" s="525" t="s">
        <v>77</v>
      </c>
      <c r="C15" s="526" t="s">
        <v>74</v>
      </c>
      <c r="D15" s="536">
        <f>F11/(24*60*60)</f>
        <v>0.509259259259259</v>
      </c>
      <c r="E15" s="537"/>
      <c r="F15" s="538">
        <v>0.8</v>
      </c>
      <c r="G15" s="528"/>
    </row>
    <row r="16" ht="15" spans="1:7">
      <c r="A16" s="1" t="s">
        <v>5</v>
      </c>
      <c r="B16" s="525" t="s">
        <v>78</v>
      </c>
      <c r="C16" s="525"/>
      <c r="D16" s="539"/>
      <c r="E16" s="527"/>
      <c r="F16" s="525">
        <f>F17+F28</f>
        <v>41737</v>
      </c>
      <c r="G16" s="514"/>
    </row>
    <row r="17" ht="17.5" spans="1:13">
      <c r="A17" s="212">
        <v>1</v>
      </c>
      <c r="B17" s="525" t="s">
        <v>79</v>
      </c>
      <c r="C17" s="540"/>
      <c r="D17" s="541"/>
      <c r="E17" s="212" t="s">
        <v>75</v>
      </c>
      <c r="F17" s="542">
        <f>INT(D6*10000*D12)</f>
        <v>39937</v>
      </c>
      <c r="G17" s="514"/>
      <c r="K17" s="9" t="s">
        <v>52</v>
      </c>
      <c r="L17" s="9"/>
      <c r="M17" s="9"/>
    </row>
    <row r="18" ht="15" spans="1:6">
      <c r="A18" s="1">
        <v>1.1</v>
      </c>
      <c r="B18" s="543" t="s">
        <v>80</v>
      </c>
      <c r="C18" s="529" t="s">
        <v>81</v>
      </c>
      <c r="D18" s="7"/>
      <c r="E18" s="212" t="s">
        <v>75</v>
      </c>
      <c r="F18" s="538">
        <v>6300</v>
      </c>
    </row>
    <row r="19" ht="15" spans="1:6">
      <c r="A19" s="1">
        <v>1.2</v>
      </c>
      <c r="B19" s="543" t="s">
        <v>82</v>
      </c>
      <c r="C19" s="529" t="s">
        <v>81</v>
      </c>
      <c r="D19" s="7"/>
      <c r="E19" s="212" t="s">
        <v>75</v>
      </c>
      <c r="F19" s="538">
        <v>6300</v>
      </c>
    </row>
    <row r="20" ht="15" spans="1:6">
      <c r="A20" s="1">
        <v>1.3</v>
      </c>
      <c r="B20" s="543" t="s">
        <v>83</v>
      </c>
      <c r="C20" s="529" t="s">
        <v>81</v>
      </c>
      <c r="D20" s="7"/>
      <c r="E20" s="212" t="s">
        <v>75</v>
      </c>
      <c r="F20" s="538">
        <v>6300</v>
      </c>
    </row>
    <row r="21" ht="15" spans="1:6">
      <c r="A21" s="1">
        <v>1.4</v>
      </c>
      <c r="B21" s="544" t="s">
        <v>84</v>
      </c>
      <c r="C21" s="529" t="s">
        <v>81</v>
      </c>
      <c r="D21" s="7"/>
      <c r="E21" s="212" t="s">
        <v>75</v>
      </c>
      <c r="F21" s="538">
        <v>3800</v>
      </c>
    </row>
    <row r="22" ht="15" spans="1:6">
      <c r="A22" s="1">
        <v>1.5</v>
      </c>
      <c r="B22" s="543" t="s">
        <v>85</v>
      </c>
      <c r="C22" s="529" t="s">
        <v>81</v>
      </c>
      <c r="D22" s="7"/>
      <c r="E22" s="212" t="s">
        <v>75</v>
      </c>
      <c r="F22" s="538">
        <v>3800</v>
      </c>
    </row>
    <row r="23" ht="15" spans="1:6">
      <c r="A23" s="1">
        <v>1.6</v>
      </c>
      <c r="B23" s="543" t="s">
        <v>86</v>
      </c>
      <c r="C23" s="529" t="s">
        <v>81</v>
      </c>
      <c r="D23" s="1"/>
      <c r="E23" s="212" t="s">
        <v>75</v>
      </c>
      <c r="F23" s="538">
        <v>3100</v>
      </c>
    </row>
    <row r="24" ht="15" spans="1:6">
      <c r="A24" s="1">
        <v>1.7</v>
      </c>
      <c r="B24" s="543" t="s">
        <v>87</v>
      </c>
      <c r="C24" s="529" t="s">
        <v>81</v>
      </c>
      <c r="D24" s="1"/>
      <c r="E24" s="212" t="s">
        <v>75</v>
      </c>
      <c r="F24" s="538">
        <v>3100</v>
      </c>
    </row>
    <row r="25" ht="15" spans="1:6">
      <c r="A25" s="1">
        <v>1.8</v>
      </c>
      <c r="B25" s="543" t="s">
        <v>88</v>
      </c>
      <c r="C25" s="529" t="s">
        <v>81</v>
      </c>
      <c r="D25" s="1"/>
      <c r="E25" s="212" t="s">
        <v>75</v>
      </c>
      <c r="F25" s="538">
        <v>3600</v>
      </c>
    </row>
    <row r="26" spans="1:7">
      <c r="A26" s="1">
        <v>1.9</v>
      </c>
      <c r="B26" s="543" t="s">
        <v>89</v>
      </c>
      <c r="C26" s="545" t="s">
        <v>90</v>
      </c>
      <c r="D26" s="1"/>
      <c r="E26" s="212" t="s">
        <v>75</v>
      </c>
      <c r="F26" s="546">
        <f>F17-SUM(F18:F25)</f>
        <v>3637</v>
      </c>
      <c r="G26">
        <f>F16*0.15</f>
        <v>6260.55</v>
      </c>
    </row>
    <row r="27" s="275" customFormat="1" spans="1:12">
      <c r="A27" s="280">
        <v>2</v>
      </c>
      <c r="B27" s="547" t="s">
        <v>91</v>
      </c>
      <c r="C27" s="548" t="s">
        <v>92</v>
      </c>
      <c r="D27" s="549">
        <v>0.3</v>
      </c>
      <c r="E27" s="208" t="s">
        <v>75</v>
      </c>
      <c r="F27" s="550">
        <f>INT(D6*10000*D27)</f>
        <v>15975</v>
      </c>
      <c r="K27" s="42"/>
      <c r="L27" s="42"/>
    </row>
    <row r="28" s="275" customFormat="1" spans="1:12">
      <c r="A28" s="280">
        <v>3</v>
      </c>
      <c r="B28" s="547" t="s">
        <v>93</v>
      </c>
      <c r="C28" s="548"/>
      <c r="D28" s="280"/>
      <c r="E28" s="208" t="s">
        <v>75</v>
      </c>
      <c r="F28" s="550">
        <v>1800</v>
      </c>
      <c r="K28" s="42" t="s">
        <v>71</v>
      </c>
      <c r="L28" s="42"/>
    </row>
    <row r="29" s="275" customFormat="1" spans="1:6">
      <c r="A29" s="280">
        <v>4</v>
      </c>
      <c r="B29" s="547" t="s">
        <v>94</v>
      </c>
      <c r="C29" s="529"/>
      <c r="D29" s="280"/>
      <c r="E29" s="551" t="s">
        <v>95</v>
      </c>
      <c r="F29" s="550">
        <f>F30</f>
        <v>125</v>
      </c>
    </row>
    <row r="30" spans="1:6">
      <c r="A30" s="1">
        <v>4.1</v>
      </c>
      <c r="B30" s="543" t="s">
        <v>96</v>
      </c>
      <c r="C30" s="529" t="s">
        <v>81</v>
      </c>
      <c r="D30" s="1"/>
      <c r="E30" s="546" t="s">
        <v>95</v>
      </c>
      <c r="F30" s="546">
        <f>F31+F32+F33</f>
        <v>125</v>
      </c>
    </row>
    <row r="31" ht="15" spans="1:6">
      <c r="A31" s="1" t="s">
        <v>97</v>
      </c>
      <c r="B31" s="552" t="s">
        <v>98</v>
      </c>
      <c r="C31" s="529" t="s">
        <v>81</v>
      </c>
      <c r="D31" s="1"/>
      <c r="E31" s="546" t="s">
        <v>95</v>
      </c>
      <c r="F31" s="538">
        <v>78</v>
      </c>
    </row>
    <row r="32" ht="15" spans="1:6">
      <c r="A32" s="1" t="s">
        <v>99</v>
      </c>
      <c r="B32" s="552" t="s">
        <v>100</v>
      </c>
      <c r="C32" s="529" t="s">
        <v>81</v>
      </c>
      <c r="D32" s="1"/>
      <c r="E32" s="546" t="s">
        <v>95</v>
      </c>
      <c r="F32" s="538">
        <v>32</v>
      </c>
    </row>
    <row r="33" ht="15" spans="1:6">
      <c r="A33" s="1" t="s">
        <v>101</v>
      </c>
      <c r="B33" s="552" t="s">
        <v>102</v>
      </c>
      <c r="C33" s="529" t="s">
        <v>81</v>
      </c>
      <c r="D33" s="1"/>
      <c r="E33" s="546" t="s">
        <v>95</v>
      </c>
      <c r="F33" s="538">
        <v>15</v>
      </c>
    </row>
    <row r="34" spans="1:6">
      <c r="A34" s="1">
        <v>4.2</v>
      </c>
      <c r="B34" s="543" t="s">
        <v>103</v>
      </c>
      <c r="C34" s="529" t="s">
        <v>104</v>
      </c>
      <c r="D34" s="531">
        <v>40</v>
      </c>
      <c r="E34" s="1" t="s">
        <v>105</v>
      </c>
      <c r="F34" s="1">
        <f>F30*1000/D34</f>
        <v>3125</v>
      </c>
    </row>
    <row r="42" spans="9:9">
      <c r="I42" t="s">
        <v>106</v>
      </c>
    </row>
    <row r="50" ht="14.5" spans="5:7">
      <c r="E50" s="553">
        <v>36573</v>
      </c>
      <c r="F50" s="553">
        <v>24368</v>
      </c>
      <c r="G50">
        <v>42477</v>
      </c>
    </row>
    <row r="51" ht="14.5" spans="5:7">
      <c r="E51" s="553">
        <v>31338</v>
      </c>
      <c r="F51" s="553">
        <v>19132</v>
      </c>
      <c r="G51">
        <v>29008</v>
      </c>
    </row>
    <row r="52" ht="14.5" spans="5:7">
      <c r="E52" s="553">
        <v>27783</v>
      </c>
      <c r="F52" s="553">
        <v>18504</v>
      </c>
      <c r="G52">
        <v>34226</v>
      </c>
    </row>
    <row r="53" ht="14.5" spans="5:7">
      <c r="E53" s="553">
        <v>31264</v>
      </c>
      <c r="F53" s="553">
        <v>27490</v>
      </c>
      <c r="G53">
        <v>38580</v>
      </c>
    </row>
    <row r="54" ht="14.5" spans="5:7">
      <c r="E54" s="553">
        <v>16007</v>
      </c>
      <c r="F54" s="553">
        <v>6259</v>
      </c>
      <c r="G54">
        <v>14591</v>
      </c>
    </row>
    <row r="55" ht="14.5" spans="5:7">
      <c r="E55" s="553">
        <v>10649</v>
      </c>
      <c r="F55" s="553">
        <v>8510</v>
      </c>
      <c r="G55">
        <v>14010</v>
      </c>
    </row>
    <row r="56" ht="14.5" spans="5:7">
      <c r="E56" s="553">
        <v>17935</v>
      </c>
      <c r="F56" s="553">
        <v>16414</v>
      </c>
      <c r="G56">
        <v>24144</v>
      </c>
    </row>
    <row r="57" ht="14.5" spans="5:7">
      <c r="E57" s="553">
        <v>18586</v>
      </c>
      <c r="F57" s="553">
        <v>16323</v>
      </c>
      <c r="G57">
        <v>40074</v>
      </c>
    </row>
    <row r="58" ht="14.5" spans="5:7">
      <c r="E58" s="553">
        <v>12149</v>
      </c>
      <c r="F58" s="553">
        <v>9862</v>
      </c>
      <c r="G58">
        <v>15002</v>
      </c>
    </row>
    <row r="59" ht="14.5" spans="5:7">
      <c r="E59" s="553">
        <v>25757</v>
      </c>
      <c r="F59" s="553">
        <v>19966</v>
      </c>
      <c r="G59">
        <v>32871</v>
      </c>
    </row>
    <row r="60" spans="5:7">
      <c r="E60">
        <f>SUM(E50:E59)</f>
        <v>228041</v>
      </c>
      <c r="F60">
        <f>SUM(F50:F59)</f>
        <v>166828</v>
      </c>
      <c r="G60">
        <f>SUM(G50:G59)</f>
        <v>284983</v>
      </c>
    </row>
  </sheetData>
  <mergeCells count="9">
    <mergeCell ref="B3:D3"/>
    <mergeCell ref="A4:G4"/>
    <mergeCell ref="J4:L4"/>
    <mergeCell ref="S4:U4"/>
    <mergeCell ref="K17:M17"/>
    <mergeCell ref="K28:L28"/>
    <mergeCell ref="B1:B2"/>
    <mergeCell ref="G6:G15"/>
    <mergeCell ref="C1:F2"/>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A1:P122"/>
  <sheetViews>
    <sheetView zoomScale="55" zoomScaleNormal="55" workbookViewId="0">
      <selection activeCell="E100" sqref="E100:E102"/>
    </sheetView>
  </sheetViews>
  <sheetFormatPr defaultColWidth="9" defaultRowHeight="14"/>
  <cols>
    <col min="2" max="2" width="31.2083333333333" customWidth="1"/>
    <col min="3" max="3" width="12.8916666666667" customWidth="1"/>
    <col min="4" max="4" width="10.8916666666667" customWidth="1"/>
    <col min="5" max="5" width="10" customWidth="1"/>
    <col min="6" max="6" width="11.6666666666667" customWidth="1"/>
    <col min="7" max="7" width="12.8916666666667" customWidth="1"/>
    <col min="8" max="8" width="9.33333333333333" customWidth="1"/>
    <col min="9" max="9" width="7.55833333333333" customWidth="1"/>
    <col min="10" max="10" width="11.75" customWidth="1"/>
    <col min="11" max="11" width="12.3333333333333" customWidth="1"/>
    <col min="12" max="12" width="15" customWidth="1"/>
    <col min="13" max="13" width="18.6666666666667" customWidth="1"/>
    <col min="18" max="18" width="12.6666666666667"/>
  </cols>
  <sheetData>
    <row r="1" spans="1:12">
      <c r="A1" s="477" t="s">
        <v>0</v>
      </c>
      <c r="B1" s="477" t="s">
        <v>107</v>
      </c>
      <c r="C1" s="478" t="s">
        <v>108</v>
      </c>
      <c r="D1" s="479"/>
      <c r="E1" s="479"/>
      <c r="F1" s="480"/>
      <c r="G1" s="481"/>
      <c r="H1" s="482"/>
      <c r="I1" s="478" t="s">
        <v>109</v>
      </c>
      <c r="J1" s="479"/>
      <c r="K1" s="480"/>
      <c r="L1" s="496" t="s">
        <v>4</v>
      </c>
    </row>
    <row r="2" ht="28" spans="1:12">
      <c r="A2" s="483"/>
      <c r="B2" s="483"/>
      <c r="C2" s="484" t="s">
        <v>110</v>
      </c>
      <c r="D2" s="484" t="s">
        <v>111</v>
      </c>
      <c r="E2" s="484" t="s">
        <v>112</v>
      </c>
      <c r="F2" s="477" t="s">
        <v>113</v>
      </c>
      <c r="G2" s="477" t="s">
        <v>114</v>
      </c>
      <c r="H2" s="477" t="s">
        <v>115</v>
      </c>
      <c r="I2" s="477" t="s">
        <v>2</v>
      </c>
      <c r="J2" s="477" t="s">
        <v>3</v>
      </c>
      <c r="K2" s="477" t="s">
        <v>116</v>
      </c>
      <c r="L2" s="496"/>
    </row>
    <row r="3" spans="1:12">
      <c r="A3" s="485" t="s">
        <v>5</v>
      </c>
      <c r="B3" s="485" t="s">
        <v>22</v>
      </c>
      <c r="C3" s="486">
        <f t="shared" ref="C3:H3" si="0">SUM(C4+C64)</f>
        <v>17385.78</v>
      </c>
      <c r="D3" s="486">
        <f t="shared" si="0"/>
        <v>0</v>
      </c>
      <c r="E3" s="486">
        <f t="shared" si="0"/>
        <v>0</v>
      </c>
      <c r="F3" s="486">
        <f t="shared" si="0"/>
        <v>0</v>
      </c>
      <c r="G3" s="486">
        <f t="shared" si="0"/>
        <v>17385.78</v>
      </c>
      <c r="H3" s="487">
        <f t="shared" si="0"/>
        <v>0.790262727272727</v>
      </c>
      <c r="I3" s="497"/>
      <c r="J3" s="497"/>
      <c r="K3" s="497"/>
      <c r="L3" s="497"/>
    </row>
    <row r="4" spans="1:13">
      <c r="A4" s="488" t="s">
        <v>117</v>
      </c>
      <c r="B4" s="488" t="s">
        <v>118</v>
      </c>
      <c r="C4" s="489">
        <f>SUM(C5+C11+C17+C23+C29+C35+C41+C48+C52+C56+C60)</f>
        <v>14755.78</v>
      </c>
      <c r="D4" s="489">
        <f>SUM(D5+D11+D17+D23+D29+D35+D41+D48+D52+D56+D60)</f>
        <v>0</v>
      </c>
      <c r="E4" s="489">
        <f>SUM(E5+E11+E17+E23+E29+E35+E41+E48+E52+E56+E60)</f>
        <v>0</v>
      </c>
      <c r="F4" s="489">
        <f>SUM(F5+F11+F17+F23+F29+F35+F41+F48+F52+F56+F60)</f>
        <v>0</v>
      </c>
      <c r="G4" s="489">
        <f>SUM(G5+G11+G17+G23+G29+G35+G41+G48+G52+G56+G60)</f>
        <v>14755.78</v>
      </c>
      <c r="H4" s="490">
        <f t="shared" ref="H4:H23" si="1">G4/$G$95</f>
        <v>0.670717272727273</v>
      </c>
      <c r="I4" s="488"/>
      <c r="J4" s="488"/>
      <c r="K4" s="498"/>
      <c r="L4" s="499"/>
      <c r="M4" s="9"/>
    </row>
    <row r="5" s="476" customFormat="1" ht="15" spans="1:13">
      <c r="A5" s="488">
        <v>1</v>
      </c>
      <c r="B5" s="491" t="s">
        <v>119</v>
      </c>
      <c r="C5" s="489">
        <f>SUM(C6:C10)</f>
        <v>366</v>
      </c>
      <c r="D5" s="489">
        <f>SUM(D6:D10)</f>
        <v>0</v>
      </c>
      <c r="E5" s="489">
        <f>SUM(E6:E10)</f>
        <v>0</v>
      </c>
      <c r="F5" s="489">
        <f>SUM(F6:F10)</f>
        <v>0</v>
      </c>
      <c r="G5" s="489">
        <f>SUM(G6:G10)</f>
        <v>366</v>
      </c>
      <c r="H5" s="490">
        <f t="shared" si="1"/>
        <v>0.0166363636363636</v>
      </c>
      <c r="I5" s="488" t="s">
        <v>120</v>
      </c>
      <c r="J5" s="488">
        <v>1000</v>
      </c>
      <c r="K5" s="491"/>
      <c r="L5" s="320"/>
      <c r="M5" s="500"/>
    </row>
    <row r="6" s="476" customFormat="1" ht="15" spans="1:13">
      <c r="A6" s="492">
        <v>1.1</v>
      </c>
      <c r="B6" s="493" t="s">
        <v>121</v>
      </c>
      <c r="C6" s="494">
        <f>ROUND(J6*K6/10000,2)</f>
        <v>330</v>
      </c>
      <c r="D6" s="494"/>
      <c r="E6" s="494"/>
      <c r="F6" s="494"/>
      <c r="G6" s="494">
        <f t="shared" ref="G6:G23" si="2">C6+E6+D6+F6</f>
        <v>330</v>
      </c>
      <c r="H6" s="495">
        <f t="shared" si="1"/>
        <v>0.015</v>
      </c>
      <c r="I6" s="492" t="s">
        <v>120</v>
      </c>
      <c r="J6" s="492">
        <f>J5</f>
        <v>1000</v>
      </c>
      <c r="K6" s="493">
        <v>3300</v>
      </c>
      <c r="L6" s="320"/>
      <c r="M6" s="500"/>
    </row>
    <row r="7" s="476" customFormat="1" ht="15" spans="1:13">
      <c r="A7" s="492">
        <v>1.2</v>
      </c>
      <c r="B7" s="493" t="s">
        <v>122</v>
      </c>
      <c r="C7" s="494">
        <f>ROUND(J7*K7/10000,2)</f>
        <v>9</v>
      </c>
      <c r="D7" s="494"/>
      <c r="E7" s="494"/>
      <c r="F7" s="494"/>
      <c r="G7" s="494">
        <f t="shared" si="2"/>
        <v>9</v>
      </c>
      <c r="H7" s="495">
        <f t="shared" si="1"/>
        <v>0.000409090909090909</v>
      </c>
      <c r="I7" s="492" t="s">
        <v>120</v>
      </c>
      <c r="J7" s="492">
        <f>J6</f>
        <v>1000</v>
      </c>
      <c r="K7" s="493">
        <v>90</v>
      </c>
      <c r="L7" s="320"/>
      <c r="M7" s="500"/>
    </row>
    <row r="8" s="476" customFormat="1" ht="15" spans="1:13">
      <c r="A8" s="492">
        <v>1.3</v>
      </c>
      <c r="B8" s="493" t="s">
        <v>123</v>
      </c>
      <c r="C8" s="494">
        <f>ROUND(J8*K8/10000,2)</f>
        <v>11</v>
      </c>
      <c r="D8" s="494"/>
      <c r="E8" s="494"/>
      <c r="F8" s="494"/>
      <c r="G8" s="494">
        <f t="shared" si="2"/>
        <v>11</v>
      </c>
      <c r="H8" s="495">
        <f t="shared" si="1"/>
        <v>0.0005</v>
      </c>
      <c r="I8" s="492" t="s">
        <v>120</v>
      </c>
      <c r="J8" s="492">
        <f>J7</f>
        <v>1000</v>
      </c>
      <c r="K8" s="493">
        <v>110</v>
      </c>
      <c r="L8" s="320"/>
      <c r="M8" s="500"/>
    </row>
    <row r="9" s="476" customFormat="1" ht="15" spans="1:13">
      <c r="A9" s="492">
        <v>1.4</v>
      </c>
      <c r="B9" s="493" t="s">
        <v>124</v>
      </c>
      <c r="C9" s="494">
        <f>ROUND(J9*K9/10000,2)</f>
        <v>9</v>
      </c>
      <c r="D9" s="494"/>
      <c r="E9" s="494"/>
      <c r="F9" s="494"/>
      <c r="G9" s="494">
        <f t="shared" si="2"/>
        <v>9</v>
      </c>
      <c r="H9" s="495">
        <f t="shared" si="1"/>
        <v>0.000409090909090909</v>
      </c>
      <c r="I9" s="492" t="s">
        <v>120</v>
      </c>
      <c r="J9" s="492">
        <f>J8</f>
        <v>1000</v>
      </c>
      <c r="K9" s="493">
        <v>90</v>
      </c>
      <c r="L9" s="320"/>
      <c r="M9" s="500"/>
    </row>
    <row r="10" s="476" customFormat="1" ht="15" spans="1:13">
      <c r="A10" s="492">
        <v>1.5</v>
      </c>
      <c r="B10" s="493" t="s">
        <v>125</v>
      </c>
      <c r="C10" s="494">
        <f>ROUND(J10*K10/10000,2)</f>
        <v>7</v>
      </c>
      <c r="D10" s="494"/>
      <c r="E10" s="494"/>
      <c r="F10" s="494"/>
      <c r="G10" s="494">
        <f t="shared" si="2"/>
        <v>7</v>
      </c>
      <c r="H10" s="495">
        <f t="shared" si="1"/>
        <v>0.000318181818181818</v>
      </c>
      <c r="I10" s="492" t="s">
        <v>120</v>
      </c>
      <c r="J10" s="492">
        <f>J9</f>
        <v>1000</v>
      </c>
      <c r="K10" s="493">
        <v>70</v>
      </c>
      <c r="L10" s="320"/>
      <c r="M10" s="500"/>
    </row>
    <row r="11" s="476" customFormat="1" ht="15" spans="1:13">
      <c r="A11" s="488">
        <v>2</v>
      </c>
      <c r="B11" s="491" t="s">
        <v>126</v>
      </c>
      <c r="C11" s="489">
        <f>SUM(C12:C16)</f>
        <v>366</v>
      </c>
      <c r="D11" s="489">
        <f>SUM(D12:D16)</f>
        <v>0</v>
      </c>
      <c r="E11" s="489">
        <f>SUM(E12:E16)</f>
        <v>0</v>
      </c>
      <c r="F11" s="489">
        <f>SUM(F12:F16)</f>
        <v>0</v>
      </c>
      <c r="G11" s="489">
        <f t="shared" si="2"/>
        <v>366</v>
      </c>
      <c r="H11" s="490">
        <f t="shared" si="1"/>
        <v>0.0166363636363636</v>
      </c>
      <c r="I11" s="488" t="s">
        <v>120</v>
      </c>
      <c r="J11" s="488">
        <v>1000</v>
      </c>
      <c r="K11" s="488"/>
      <c r="L11" s="320"/>
      <c r="M11" s="500"/>
    </row>
    <row r="12" s="476" customFormat="1" ht="15" spans="1:13">
      <c r="A12" s="492">
        <v>2.1</v>
      </c>
      <c r="B12" s="493" t="s">
        <v>121</v>
      </c>
      <c r="C12" s="494">
        <f>ROUND(J12*K12/10000,2)</f>
        <v>330</v>
      </c>
      <c r="D12" s="494"/>
      <c r="E12" s="494"/>
      <c r="F12" s="494"/>
      <c r="G12" s="494">
        <f t="shared" si="2"/>
        <v>330</v>
      </c>
      <c r="H12" s="495">
        <f t="shared" si="1"/>
        <v>0.015</v>
      </c>
      <c r="I12" s="492" t="s">
        <v>120</v>
      </c>
      <c r="J12" s="492">
        <f>J11</f>
        <v>1000</v>
      </c>
      <c r="K12" s="493">
        <f>K6</f>
        <v>3300</v>
      </c>
      <c r="L12" s="320"/>
      <c r="M12" s="500"/>
    </row>
    <row r="13" s="476" customFormat="1" ht="15" spans="1:13">
      <c r="A13" s="492">
        <v>2.2</v>
      </c>
      <c r="B13" s="493" t="s">
        <v>122</v>
      </c>
      <c r="C13" s="494">
        <f>ROUND(J13*K13/10000,2)</f>
        <v>9</v>
      </c>
      <c r="D13" s="494"/>
      <c r="E13" s="494"/>
      <c r="F13" s="494"/>
      <c r="G13" s="494">
        <f t="shared" si="2"/>
        <v>9</v>
      </c>
      <c r="H13" s="495">
        <f t="shared" si="1"/>
        <v>0.000409090909090909</v>
      </c>
      <c r="I13" s="492" t="s">
        <v>120</v>
      </c>
      <c r="J13" s="492">
        <f>J12</f>
        <v>1000</v>
      </c>
      <c r="K13" s="493">
        <f>K7</f>
        <v>90</v>
      </c>
      <c r="L13" s="320"/>
      <c r="M13" s="500"/>
    </row>
    <row r="14" s="476" customFormat="1" ht="15" spans="1:13">
      <c r="A14" s="492">
        <v>2.3</v>
      </c>
      <c r="B14" s="493" t="s">
        <v>123</v>
      </c>
      <c r="C14" s="494">
        <f>ROUND(J14*K14/10000,2)</f>
        <v>11</v>
      </c>
      <c r="D14" s="494"/>
      <c r="E14" s="494"/>
      <c r="F14" s="494"/>
      <c r="G14" s="494">
        <f t="shared" si="2"/>
        <v>11</v>
      </c>
      <c r="H14" s="495">
        <f t="shared" si="1"/>
        <v>0.0005</v>
      </c>
      <c r="I14" s="492" t="s">
        <v>120</v>
      </c>
      <c r="J14" s="492">
        <f>J13</f>
        <v>1000</v>
      </c>
      <c r="K14" s="493">
        <f>K8</f>
        <v>110</v>
      </c>
      <c r="L14" s="320"/>
      <c r="M14" s="500"/>
    </row>
    <row r="15" s="476" customFormat="1" ht="15" spans="1:13">
      <c r="A15" s="492">
        <v>2.4</v>
      </c>
      <c r="B15" s="493" t="s">
        <v>124</v>
      </c>
      <c r="C15" s="494">
        <f>ROUND(J15*K15/10000,2)</f>
        <v>9</v>
      </c>
      <c r="D15" s="494"/>
      <c r="E15" s="494"/>
      <c r="F15" s="494"/>
      <c r="G15" s="494">
        <f t="shared" si="2"/>
        <v>9</v>
      </c>
      <c r="H15" s="495">
        <f t="shared" si="1"/>
        <v>0.000409090909090909</v>
      </c>
      <c r="I15" s="492" t="s">
        <v>120</v>
      </c>
      <c r="J15" s="492">
        <f>J14</f>
        <v>1000</v>
      </c>
      <c r="K15" s="493">
        <f>K9</f>
        <v>90</v>
      </c>
      <c r="L15" s="320"/>
      <c r="M15" s="500"/>
    </row>
    <row r="16" s="476" customFormat="1" ht="15" spans="1:13">
      <c r="A16" s="492">
        <v>2.5</v>
      </c>
      <c r="B16" s="493" t="s">
        <v>125</v>
      </c>
      <c r="C16" s="494">
        <f>ROUND(J16*K16/10000,2)</f>
        <v>7</v>
      </c>
      <c r="D16" s="492"/>
      <c r="E16" s="493"/>
      <c r="F16" s="494"/>
      <c r="G16" s="492">
        <f t="shared" si="2"/>
        <v>7</v>
      </c>
      <c r="H16" s="495">
        <f t="shared" si="1"/>
        <v>0.000318181818181818</v>
      </c>
      <c r="I16" s="494" t="s">
        <v>120</v>
      </c>
      <c r="J16" s="492">
        <f>J15</f>
        <v>1000</v>
      </c>
      <c r="K16" s="493">
        <f>K10</f>
        <v>70</v>
      </c>
      <c r="L16" s="320"/>
      <c r="M16" s="500"/>
    </row>
    <row r="17" s="476" customFormat="1" ht="15" spans="1:13">
      <c r="A17" s="491">
        <v>3</v>
      </c>
      <c r="B17" s="491" t="s">
        <v>127</v>
      </c>
      <c r="C17" s="491">
        <f>SUM(C18:C22)</f>
        <v>194.5</v>
      </c>
      <c r="D17" s="491">
        <f>SUM(D18:D22)</f>
        <v>0</v>
      </c>
      <c r="E17" s="491">
        <f>SUM(E18:E22)</f>
        <v>0</v>
      </c>
      <c r="F17" s="491">
        <f>SUM(F18:F22)</f>
        <v>0</v>
      </c>
      <c r="G17" s="491">
        <f t="shared" si="2"/>
        <v>194.5</v>
      </c>
      <c r="H17" s="491">
        <f t="shared" si="1"/>
        <v>0.00884090909090909</v>
      </c>
      <c r="I17" s="491" t="s">
        <v>120</v>
      </c>
      <c r="J17" s="491">
        <v>500</v>
      </c>
      <c r="K17" s="488"/>
      <c r="L17" s="320"/>
      <c r="M17" s="500"/>
    </row>
    <row r="18" s="476" customFormat="1" ht="15" spans="1:13">
      <c r="A18" s="492">
        <v>3.1</v>
      </c>
      <c r="B18" s="493" t="s">
        <v>121</v>
      </c>
      <c r="C18" s="494">
        <f>ROUND(J18*K18/10000,2)</f>
        <v>165</v>
      </c>
      <c r="D18" s="494"/>
      <c r="E18" s="494"/>
      <c r="F18" s="494"/>
      <c r="G18" s="494">
        <f t="shared" si="2"/>
        <v>165</v>
      </c>
      <c r="H18" s="495">
        <f t="shared" si="1"/>
        <v>0.0075</v>
      </c>
      <c r="I18" s="492" t="s">
        <v>120</v>
      </c>
      <c r="J18" s="492">
        <f>J17</f>
        <v>500</v>
      </c>
      <c r="K18" s="493">
        <f>K12</f>
        <v>3300</v>
      </c>
      <c r="L18" s="320"/>
      <c r="M18" s="500"/>
    </row>
    <row r="19" s="476" customFormat="1" ht="15" spans="1:13">
      <c r="A19" s="492">
        <v>3.2</v>
      </c>
      <c r="B19" s="493" t="s">
        <v>122</v>
      </c>
      <c r="C19" s="494">
        <f>ROUND(J19*K19/10000,2)</f>
        <v>4.5</v>
      </c>
      <c r="D19" s="494"/>
      <c r="E19" s="494"/>
      <c r="F19" s="494"/>
      <c r="G19" s="494">
        <f t="shared" si="2"/>
        <v>4.5</v>
      </c>
      <c r="H19" s="495">
        <f t="shared" si="1"/>
        <v>0.000204545454545455</v>
      </c>
      <c r="I19" s="492" t="s">
        <v>120</v>
      </c>
      <c r="J19" s="492">
        <f>J18</f>
        <v>500</v>
      </c>
      <c r="K19" s="493">
        <f>K13</f>
        <v>90</v>
      </c>
      <c r="L19" s="320"/>
      <c r="M19" s="500"/>
    </row>
    <row r="20" s="476" customFormat="1" ht="15" spans="1:13">
      <c r="A20" s="492">
        <v>3.3</v>
      </c>
      <c r="B20" s="493" t="s">
        <v>123</v>
      </c>
      <c r="C20" s="494">
        <f>ROUND(J20*K20/10000,2)</f>
        <v>5.5</v>
      </c>
      <c r="D20" s="494"/>
      <c r="E20" s="494"/>
      <c r="F20" s="494"/>
      <c r="G20" s="494">
        <f t="shared" si="2"/>
        <v>5.5</v>
      </c>
      <c r="H20" s="495">
        <f t="shared" si="1"/>
        <v>0.00025</v>
      </c>
      <c r="I20" s="492" t="s">
        <v>120</v>
      </c>
      <c r="J20" s="492">
        <f>J19</f>
        <v>500</v>
      </c>
      <c r="K20" s="493">
        <f>K14</f>
        <v>110</v>
      </c>
      <c r="L20" s="320"/>
      <c r="M20" s="500"/>
    </row>
    <row r="21" s="476" customFormat="1" ht="15" spans="1:13">
      <c r="A21" s="492">
        <v>3.4</v>
      </c>
      <c r="B21" s="493" t="s">
        <v>124</v>
      </c>
      <c r="C21" s="494">
        <f>ROUND(J21*K21/10000,2)</f>
        <v>4.5</v>
      </c>
      <c r="D21" s="494"/>
      <c r="E21" s="494"/>
      <c r="F21" s="494"/>
      <c r="G21" s="494">
        <f t="shared" si="2"/>
        <v>4.5</v>
      </c>
      <c r="H21" s="495">
        <f t="shared" si="1"/>
        <v>0.000204545454545455</v>
      </c>
      <c r="I21" s="492" t="s">
        <v>120</v>
      </c>
      <c r="J21" s="492">
        <f>J20</f>
        <v>500</v>
      </c>
      <c r="K21" s="493">
        <f>K15</f>
        <v>90</v>
      </c>
      <c r="L21" s="320"/>
      <c r="M21" s="500"/>
    </row>
    <row r="22" s="476" customFormat="1" ht="15" spans="1:13">
      <c r="A22" s="492">
        <v>3.5</v>
      </c>
      <c r="B22" s="493" t="s">
        <v>125</v>
      </c>
      <c r="C22" s="494">
        <f>ROUND(J22*K22/10000,2)</f>
        <v>15</v>
      </c>
      <c r="D22" s="492"/>
      <c r="E22" s="493"/>
      <c r="F22" s="494"/>
      <c r="G22" s="492">
        <f t="shared" si="2"/>
        <v>15</v>
      </c>
      <c r="H22" s="495">
        <f t="shared" si="1"/>
        <v>0.000681818181818182</v>
      </c>
      <c r="I22" s="494" t="s">
        <v>120</v>
      </c>
      <c r="J22" s="492">
        <f>J21</f>
        <v>500</v>
      </c>
      <c r="K22" s="493">
        <v>300</v>
      </c>
      <c r="L22" s="320"/>
      <c r="M22" s="500"/>
    </row>
    <row r="23" s="476" customFormat="1" ht="15" spans="1:13">
      <c r="A23" s="488">
        <v>4</v>
      </c>
      <c r="B23" s="491" t="s">
        <v>128</v>
      </c>
      <c r="C23" s="489">
        <f>SUM(C24:C28)</f>
        <v>1939.8</v>
      </c>
      <c r="D23" s="489">
        <f>SUM(D24:D28)</f>
        <v>0</v>
      </c>
      <c r="E23" s="489">
        <f>SUM(E24:E28)</f>
        <v>0</v>
      </c>
      <c r="F23" s="489">
        <f>SUM(F24:F28)</f>
        <v>0</v>
      </c>
      <c r="G23" s="489">
        <f t="shared" si="2"/>
        <v>1939.8</v>
      </c>
      <c r="H23" s="490">
        <f t="shared" si="1"/>
        <v>0.0881727272727273</v>
      </c>
      <c r="I23" s="488" t="s">
        <v>120</v>
      </c>
      <c r="J23" s="488">
        <v>5300</v>
      </c>
      <c r="K23" s="488"/>
      <c r="L23" s="320"/>
      <c r="M23" s="500"/>
    </row>
    <row r="24" s="476" customFormat="1" ht="15" spans="1:13">
      <c r="A24" s="492">
        <v>4.1</v>
      </c>
      <c r="B24" s="493" t="s">
        <v>121</v>
      </c>
      <c r="C24" s="494">
        <f>ROUND(J24*K24/10000,2)</f>
        <v>1749</v>
      </c>
      <c r="D24" s="494"/>
      <c r="E24" s="494"/>
      <c r="F24" s="494"/>
      <c r="G24" s="494">
        <f t="shared" ref="G24:G45" si="3">C24+E24+D24+F24</f>
        <v>1749</v>
      </c>
      <c r="H24" s="495">
        <f t="shared" ref="H24:H45" si="4">G24/$G$95</f>
        <v>0.0795</v>
      </c>
      <c r="I24" s="492" t="s">
        <v>120</v>
      </c>
      <c r="J24" s="492">
        <f>J23</f>
        <v>5300</v>
      </c>
      <c r="K24" s="493">
        <f>K18</f>
        <v>3300</v>
      </c>
      <c r="L24" s="320"/>
      <c r="M24" s="500"/>
    </row>
    <row r="25" s="476" customFormat="1" ht="15" spans="1:13">
      <c r="A25" s="492">
        <v>4.2</v>
      </c>
      <c r="B25" s="493" t="s">
        <v>122</v>
      </c>
      <c r="C25" s="494">
        <f t="shared" ref="C25:C34" si="5">ROUND(J25*K25/10000,2)</f>
        <v>47.7</v>
      </c>
      <c r="D25" s="494"/>
      <c r="E25" s="494"/>
      <c r="F25" s="494"/>
      <c r="G25" s="494">
        <f t="shared" si="3"/>
        <v>47.7</v>
      </c>
      <c r="H25" s="495">
        <f t="shared" si="4"/>
        <v>0.00216818181818182</v>
      </c>
      <c r="I25" s="492" t="s">
        <v>120</v>
      </c>
      <c r="J25" s="492">
        <f t="shared" ref="J25:J34" si="6">J24</f>
        <v>5300</v>
      </c>
      <c r="K25" s="493">
        <f>K19</f>
        <v>90</v>
      </c>
      <c r="L25" s="320"/>
      <c r="M25" s="500"/>
    </row>
    <row r="26" s="476" customFormat="1" ht="15" spans="1:13">
      <c r="A26" s="492">
        <v>4.3</v>
      </c>
      <c r="B26" s="493" t="s">
        <v>123</v>
      </c>
      <c r="C26" s="494">
        <f t="shared" si="5"/>
        <v>58.3</v>
      </c>
      <c r="D26" s="494"/>
      <c r="E26" s="494"/>
      <c r="F26" s="494"/>
      <c r="G26" s="494">
        <f t="shared" si="3"/>
        <v>58.3</v>
      </c>
      <c r="H26" s="495">
        <f t="shared" si="4"/>
        <v>0.00265</v>
      </c>
      <c r="I26" s="492" t="s">
        <v>120</v>
      </c>
      <c r="J26" s="492">
        <f t="shared" si="6"/>
        <v>5300</v>
      </c>
      <c r="K26" s="493">
        <f>K20</f>
        <v>110</v>
      </c>
      <c r="L26" s="320"/>
      <c r="M26" s="500"/>
    </row>
    <row r="27" s="476" customFormat="1" ht="15" spans="1:13">
      <c r="A27" s="492">
        <v>4.4</v>
      </c>
      <c r="B27" s="493" t="s">
        <v>124</v>
      </c>
      <c r="C27" s="494">
        <f t="shared" si="5"/>
        <v>47.7</v>
      </c>
      <c r="D27" s="494"/>
      <c r="E27" s="494"/>
      <c r="F27" s="494"/>
      <c r="G27" s="494">
        <f t="shared" si="3"/>
        <v>47.7</v>
      </c>
      <c r="H27" s="495">
        <f t="shared" si="4"/>
        <v>0.00216818181818182</v>
      </c>
      <c r="I27" s="492" t="s">
        <v>120</v>
      </c>
      <c r="J27" s="492">
        <f t="shared" si="6"/>
        <v>5300</v>
      </c>
      <c r="K27" s="493">
        <f>K21</f>
        <v>90</v>
      </c>
      <c r="L27" s="320"/>
      <c r="M27" s="500"/>
    </row>
    <row r="28" s="476" customFormat="1" ht="15" spans="1:13">
      <c r="A28" s="492">
        <v>4.5</v>
      </c>
      <c r="B28" s="493" t="s">
        <v>125</v>
      </c>
      <c r="C28" s="494">
        <f t="shared" si="5"/>
        <v>37.1</v>
      </c>
      <c r="D28" s="492"/>
      <c r="E28" s="493"/>
      <c r="F28" s="494"/>
      <c r="G28" s="492">
        <f t="shared" si="3"/>
        <v>37.1</v>
      </c>
      <c r="H28" s="495">
        <f t="shared" si="4"/>
        <v>0.00168636363636364</v>
      </c>
      <c r="I28" s="494" t="s">
        <v>120</v>
      </c>
      <c r="J28" s="492">
        <f t="shared" si="6"/>
        <v>5300</v>
      </c>
      <c r="K28" s="493">
        <f>K16</f>
        <v>70</v>
      </c>
      <c r="L28" s="320"/>
      <c r="M28" s="500"/>
    </row>
    <row r="29" s="476" customFormat="1" ht="15" spans="1:13">
      <c r="A29" s="488">
        <v>5</v>
      </c>
      <c r="B29" s="491" t="s">
        <v>129</v>
      </c>
      <c r="C29" s="489">
        <f t="shared" ref="C29:F29" si="7">SUM(C30:C34)</f>
        <v>219.6</v>
      </c>
      <c r="D29" s="489">
        <f t="shared" si="7"/>
        <v>0</v>
      </c>
      <c r="E29" s="489">
        <f t="shared" si="7"/>
        <v>0</v>
      </c>
      <c r="F29" s="489">
        <f t="shared" si="7"/>
        <v>0</v>
      </c>
      <c r="G29" s="489">
        <f t="shared" si="3"/>
        <v>219.6</v>
      </c>
      <c r="H29" s="490">
        <f t="shared" si="4"/>
        <v>0.00998181818181818</v>
      </c>
      <c r="I29" s="488" t="s">
        <v>120</v>
      </c>
      <c r="J29" s="488">
        <v>600</v>
      </c>
      <c r="K29" s="488"/>
      <c r="L29" s="320"/>
      <c r="M29" s="500"/>
    </row>
    <row r="30" s="476" customFormat="1" ht="15" spans="1:15">
      <c r="A30" s="492">
        <v>5.1</v>
      </c>
      <c r="B30" s="493" t="s">
        <v>121</v>
      </c>
      <c r="C30" s="494">
        <f t="shared" si="5"/>
        <v>198</v>
      </c>
      <c r="D30" s="494"/>
      <c r="E30" s="494"/>
      <c r="F30" s="494"/>
      <c r="G30" s="494">
        <f t="shared" si="3"/>
        <v>198</v>
      </c>
      <c r="H30" s="495">
        <f t="shared" si="4"/>
        <v>0.009</v>
      </c>
      <c r="I30" s="492" t="s">
        <v>120</v>
      </c>
      <c r="J30" s="492">
        <f t="shared" si="6"/>
        <v>600</v>
      </c>
      <c r="K30" s="493">
        <f>K24</f>
        <v>3300</v>
      </c>
      <c r="L30" s="320"/>
      <c r="M30" s="500"/>
      <c r="O30" s="476">
        <f>5000/0.8</f>
        <v>6250</v>
      </c>
    </row>
    <row r="31" s="476" customFormat="1" ht="15" spans="1:13">
      <c r="A31" s="492">
        <v>5.2</v>
      </c>
      <c r="B31" s="493" t="s">
        <v>122</v>
      </c>
      <c r="C31" s="494">
        <f t="shared" si="5"/>
        <v>5.4</v>
      </c>
      <c r="D31" s="494"/>
      <c r="E31" s="494"/>
      <c r="F31" s="494"/>
      <c r="G31" s="494">
        <f t="shared" si="3"/>
        <v>5.4</v>
      </c>
      <c r="H31" s="495">
        <f t="shared" si="4"/>
        <v>0.000245454545454545</v>
      </c>
      <c r="I31" s="492" t="s">
        <v>120</v>
      </c>
      <c r="J31" s="492">
        <f t="shared" si="6"/>
        <v>600</v>
      </c>
      <c r="K31" s="493">
        <f>K25</f>
        <v>90</v>
      </c>
      <c r="L31" s="320"/>
      <c r="M31" s="500"/>
    </row>
    <row r="32" s="476" customFormat="1" ht="15" spans="1:13">
      <c r="A32" s="492">
        <v>5.3</v>
      </c>
      <c r="B32" s="493" t="s">
        <v>123</v>
      </c>
      <c r="C32" s="494">
        <f t="shared" si="5"/>
        <v>6.6</v>
      </c>
      <c r="D32" s="494"/>
      <c r="E32" s="494"/>
      <c r="F32" s="494"/>
      <c r="G32" s="494">
        <f t="shared" si="3"/>
        <v>6.6</v>
      </c>
      <c r="H32" s="495">
        <f t="shared" si="4"/>
        <v>0.0003</v>
      </c>
      <c r="I32" s="492" t="s">
        <v>120</v>
      </c>
      <c r="J32" s="492">
        <f t="shared" si="6"/>
        <v>600</v>
      </c>
      <c r="K32" s="493">
        <f>K26</f>
        <v>110</v>
      </c>
      <c r="L32" s="320"/>
      <c r="M32" s="500"/>
    </row>
    <row r="33" s="476" customFormat="1" ht="15" spans="1:13">
      <c r="A33" s="492">
        <v>5.4</v>
      </c>
      <c r="B33" s="493" t="s">
        <v>124</v>
      </c>
      <c r="C33" s="494">
        <f t="shared" si="5"/>
        <v>5.4</v>
      </c>
      <c r="D33" s="494"/>
      <c r="E33" s="494"/>
      <c r="F33" s="494"/>
      <c r="G33" s="494">
        <f t="shared" si="3"/>
        <v>5.4</v>
      </c>
      <c r="H33" s="495">
        <f t="shared" si="4"/>
        <v>0.000245454545454545</v>
      </c>
      <c r="I33" s="492" t="s">
        <v>120</v>
      </c>
      <c r="J33" s="492">
        <f t="shared" si="6"/>
        <v>600</v>
      </c>
      <c r="K33" s="493">
        <f>K27</f>
        <v>90</v>
      </c>
      <c r="L33" s="320"/>
      <c r="M33" s="500"/>
    </row>
    <row r="34" s="476" customFormat="1" ht="15" spans="1:13">
      <c r="A34" s="492">
        <v>5.5</v>
      </c>
      <c r="B34" s="493" t="s">
        <v>125</v>
      </c>
      <c r="C34" s="494">
        <f t="shared" si="5"/>
        <v>4.2</v>
      </c>
      <c r="D34" s="492"/>
      <c r="E34" s="493"/>
      <c r="F34" s="494"/>
      <c r="G34" s="492">
        <f t="shared" si="3"/>
        <v>4.2</v>
      </c>
      <c r="H34" s="495">
        <f t="shared" si="4"/>
        <v>0.000190909090909091</v>
      </c>
      <c r="I34" s="494" t="s">
        <v>120</v>
      </c>
      <c r="J34" s="492">
        <f t="shared" si="6"/>
        <v>600</v>
      </c>
      <c r="K34" s="493">
        <f>K28</f>
        <v>70</v>
      </c>
      <c r="L34" s="320"/>
      <c r="M34" s="500"/>
    </row>
    <row r="35" s="476" customFormat="1" ht="15" spans="1:13">
      <c r="A35" s="488">
        <v>6</v>
      </c>
      <c r="B35" s="491" t="s">
        <v>130</v>
      </c>
      <c r="C35" s="489">
        <f t="shared" ref="C35:F35" si="8">SUM(C36:C40)</f>
        <v>7352.57</v>
      </c>
      <c r="D35" s="489">
        <f t="shared" si="8"/>
        <v>0</v>
      </c>
      <c r="E35" s="489">
        <f t="shared" si="8"/>
        <v>0</v>
      </c>
      <c r="F35" s="489">
        <f t="shared" si="8"/>
        <v>0</v>
      </c>
      <c r="G35" s="489">
        <f t="shared" si="3"/>
        <v>7352.57</v>
      </c>
      <c r="H35" s="490">
        <f t="shared" si="4"/>
        <v>0.334207727272727</v>
      </c>
      <c r="I35" s="488" t="s">
        <v>120</v>
      </c>
      <c r="J35" s="488">
        <v>20089</v>
      </c>
      <c r="K35" s="488"/>
      <c r="L35" s="320"/>
      <c r="M35" s="500"/>
    </row>
    <row r="36" s="476" customFormat="1" ht="15" spans="1:13">
      <c r="A36" s="492">
        <v>6.1</v>
      </c>
      <c r="B36" s="493" t="s">
        <v>121</v>
      </c>
      <c r="C36" s="494">
        <f t="shared" ref="C36:C40" si="9">ROUND(J36*K36/10000,2)</f>
        <v>6629.37</v>
      </c>
      <c r="D36" s="494"/>
      <c r="E36" s="494"/>
      <c r="F36" s="494"/>
      <c r="G36" s="494">
        <f t="shared" si="3"/>
        <v>6629.37</v>
      </c>
      <c r="H36" s="495">
        <f t="shared" si="4"/>
        <v>0.301335</v>
      </c>
      <c r="I36" s="492" t="s">
        <v>120</v>
      </c>
      <c r="J36" s="492">
        <f t="shared" ref="J36:J40" si="10">J35</f>
        <v>20089</v>
      </c>
      <c r="K36" s="493">
        <f>K30</f>
        <v>3300</v>
      </c>
      <c r="L36" s="320"/>
      <c r="M36" s="500"/>
    </row>
    <row r="37" s="476" customFormat="1" ht="15" spans="1:13">
      <c r="A37" s="492">
        <v>6.2</v>
      </c>
      <c r="B37" s="493" t="s">
        <v>122</v>
      </c>
      <c r="C37" s="494">
        <f t="shared" si="9"/>
        <v>180.8</v>
      </c>
      <c r="D37" s="494"/>
      <c r="E37" s="494"/>
      <c r="F37" s="494"/>
      <c r="G37" s="494">
        <f t="shared" si="3"/>
        <v>180.8</v>
      </c>
      <c r="H37" s="495">
        <f t="shared" si="4"/>
        <v>0.00821818181818182</v>
      </c>
      <c r="I37" s="492" t="s">
        <v>120</v>
      </c>
      <c r="J37" s="492">
        <f t="shared" si="10"/>
        <v>20089</v>
      </c>
      <c r="K37" s="493">
        <f>K31</f>
        <v>90</v>
      </c>
      <c r="L37" s="320"/>
      <c r="M37" s="500"/>
    </row>
    <row r="38" s="476" customFormat="1" ht="15" spans="1:13">
      <c r="A38" s="492">
        <v>6.3</v>
      </c>
      <c r="B38" s="493" t="s">
        <v>123</v>
      </c>
      <c r="C38" s="494">
        <f t="shared" si="9"/>
        <v>220.98</v>
      </c>
      <c r="D38" s="494"/>
      <c r="E38" s="494"/>
      <c r="F38" s="494"/>
      <c r="G38" s="494">
        <f t="shared" si="3"/>
        <v>220.98</v>
      </c>
      <c r="H38" s="495">
        <f t="shared" si="4"/>
        <v>0.0100445454545455</v>
      </c>
      <c r="I38" s="492" t="s">
        <v>120</v>
      </c>
      <c r="J38" s="492">
        <f t="shared" si="10"/>
        <v>20089</v>
      </c>
      <c r="K38" s="493">
        <f>K32</f>
        <v>110</v>
      </c>
      <c r="L38" s="320"/>
      <c r="M38" s="500"/>
    </row>
    <row r="39" s="476" customFormat="1" ht="15" spans="1:13">
      <c r="A39" s="492">
        <v>6.4</v>
      </c>
      <c r="B39" s="493" t="s">
        <v>124</v>
      </c>
      <c r="C39" s="494">
        <f t="shared" si="9"/>
        <v>180.8</v>
      </c>
      <c r="D39" s="494"/>
      <c r="E39" s="494"/>
      <c r="F39" s="494"/>
      <c r="G39" s="494">
        <f t="shared" si="3"/>
        <v>180.8</v>
      </c>
      <c r="H39" s="495">
        <f t="shared" si="4"/>
        <v>0.00821818181818182</v>
      </c>
      <c r="I39" s="492" t="s">
        <v>120</v>
      </c>
      <c r="J39" s="492">
        <f t="shared" si="10"/>
        <v>20089</v>
      </c>
      <c r="K39" s="493">
        <f>K33</f>
        <v>90</v>
      </c>
      <c r="L39" s="320"/>
      <c r="M39" s="500"/>
    </row>
    <row r="40" s="476" customFormat="1" ht="15" spans="1:13">
      <c r="A40" s="492">
        <v>6.5</v>
      </c>
      <c r="B40" s="493" t="s">
        <v>125</v>
      </c>
      <c r="C40" s="494">
        <f t="shared" si="9"/>
        <v>140.62</v>
      </c>
      <c r="D40" s="492"/>
      <c r="E40" s="493"/>
      <c r="F40" s="494"/>
      <c r="G40" s="492">
        <f t="shared" si="3"/>
        <v>140.62</v>
      </c>
      <c r="H40" s="495">
        <f t="shared" si="4"/>
        <v>0.00639181818181818</v>
      </c>
      <c r="I40" s="494" t="s">
        <v>120</v>
      </c>
      <c r="J40" s="492">
        <f t="shared" si="10"/>
        <v>20089</v>
      </c>
      <c r="K40" s="493">
        <f>K34</f>
        <v>70</v>
      </c>
      <c r="L40" s="320"/>
      <c r="M40" s="500"/>
    </row>
    <row r="41" s="476" customFormat="1" ht="18" customHeight="1" spans="1:13">
      <c r="A41" s="488">
        <v>7</v>
      </c>
      <c r="B41" s="491" t="s">
        <v>131</v>
      </c>
      <c r="C41" s="489">
        <f>SUM(C42:C47)</f>
        <v>3612</v>
      </c>
      <c r="D41" s="489">
        <f>SUM(D42:D47)</f>
        <v>0</v>
      </c>
      <c r="E41" s="489">
        <f>SUM(E42:E47)</f>
        <v>0</v>
      </c>
      <c r="F41" s="489">
        <f>SUM(F42:F47)</f>
        <v>0</v>
      </c>
      <c r="G41" s="489">
        <f t="shared" si="3"/>
        <v>3612</v>
      </c>
      <c r="H41" s="490">
        <f t="shared" si="4"/>
        <v>0.164181818181818</v>
      </c>
      <c r="I41" s="488" t="s">
        <v>120</v>
      </c>
      <c r="J41" s="488">
        <v>6000</v>
      </c>
      <c r="K41" s="488"/>
      <c r="L41" s="320" t="s">
        <v>14</v>
      </c>
      <c r="M41" s="500"/>
    </row>
    <row r="42" s="476" customFormat="1" ht="15" spans="1:13">
      <c r="A42" s="492">
        <v>7.1</v>
      </c>
      <c r="B42" s="493" t="s">
        <v>132</v>
      </c>
      <c r="C42" s="494">
        <f>ROUND(J42*K42/10000,2)</f>
        <v>540</v>
      </c>
      <c r="D42" s="494"/>
      <c r="E42" s="494"/>
      <c r="F42" s="494"/>
      <c r="G42" s="494">
        <f t="shared" si="3"/>
        <v>540</v>
      </c>
      <c r="H42" s="495">
        <f t="shared" si="4"/>
        <v>0.0245454545454545</v>
      </c>
      <c r="I42" s="492" t="s">
        <v>120</v>
      </c>
      <c r="J42" s="492">
        <f t="shared" ref="J42:J47" si="11">J41</f>
        <v>6000</v>
      </c>
      <c r="K42" s="493">
        <v>900</v>
      </c>
      <c r="L42" s="320"/>
      <c r="M42" s="500"/>
    </row>
    <row r="43" s="476" customFormat="1" ht="15" spans="1:13">
      <c r="A43" s="492">
        <v>7.2</v>
      </c>
      <c r="B43" s="493" t="s">
        <v>133</v>
      </c>
      <c r="C43" s="494">
        <f>ROUND(J43*K43/10000,2)</f>
        <v>2880</v>
      </c>
      <c r="D43" s="494"/>
      <c r="E43" s="494"/>
      <c r="F43" s="494"/>
      <c r="G43" s="494">
        <f t="shared" si="3"/>
        <v>2880</v>
      </c>
      <c r="H43" s="495">
        <f t="shared" si="4"/>
        <v>0.130909090909091</v>
      </c>
      <c r="I43" s="492" t="s">
        <v>120</v>
      </c>
      <c r="J43" s="492">
        <f t="shared" si="11"/>
        <v>6000</v>
      </c>
      <c r="K43" s="493">
        <v>4800</v>
      </c>
      <c r="L43" s="320"/>
      <c r="M43" s="500"/>
    </row>
    <row r="44" s="476" customFormat="1" ht="15" spans="1:13">
      <c r="A44" s="492">
        <v>8.2</v>
      </c>
      <c r="B44" s="493" t="s">
        <v>122</v>
      </c>
      <c r="C44" s="494">
        <f>ROUND(J44*K44/10000,2)</f>
        <v>54</v>
      </c>
      <c r="D44" s="494"/>
      <c r="E44" s="494"/>
      <c r="F44" s="494"/>
      <c r="G44" s="494">
        <f t="shared" si="3"/>
        <v>54</v>
      </c>
      <c r="H44" s="495">
        <f t="shared" si="4"/>
        <v>0.00245454545454545</v>
      </c>
      <c r="I44" s="492" t="s">
        <v>120</v>
      </c>
      <c r="J44" s="492">
        <f t="shared" si="11"/>
        <v>6000</v>
      </c>
      <c r="K44" s="493">
        <v>90</v>
      </c>
      <c r="L44" s="320"/>
      <c r="M44" s="500"/>
    </row>
    <row r="45" s="476" customFormat="1" ht="15" spans="1:13">
      <c r="A45" s="492">
        <v>9.2</v>
      </c>
      <c r="B45" s="493" t="s">
        <v>123</v>
      </c>
      <c r="C45" s="494">
        <f>ROUND(J45*K45/10000,2)</f>
        <v>66</v>
      </c>
      <c r="D45" s="494"/>
      <c r="E45" s="494"/>
      <c r="F45" s="494"/>
      <c r="G45" s="494">
        <f t="shared" si="3"/>
        <v>66</v>
      </c>
      <c r="H45" s="495">
        <f t="shared" si="4"/>
        <v>0.003</v>
      </c>
      <c r="I45" s="492" t="s">
        <v>120</v>
      </c>
      <c r="J45" s="492">
        <f t="shared" si="11"/>
        <v>6000</v>
      </c>
      <c r="K45" s="493">
        <v>110</v>
      </c>
      <c r="L45" s="320"/>
      <c r="M45" s="500"/>
    </row>
    <row r="46" s="476" customFormat="1" ht="15" spans="1:13">
      <c r="A46" s="492">
        <v>7.4</v>
      </c>
      <c r="B46" s="493" t="s">
        <v>124</v>
      </c>
      <c r="C46" s="494">
        <f t="shared" ref="C45:C51" si="12">ROUND(J46*K46/10000,2)</f>
        <v>42</v>
      </c>
      <c r="D46" s="494"/>
      <c r="E46" s="494"/>
      <c r="F46" s="494"/>
      <c r="G46" s="494">
        <f t="shared" ref="G45:G51" si="13">C46+E46+D46+F46</f>
        <v>42</v>
      </c>
      <c r="H46" s="495">
        <f t="shared" ref="H45:H51" si="14">G46/$G$95</f>
        <v>0.00190909090909091</v>
      </c>
      <c r="I46" s="492" t="s">
        <v>120</v>
      </c>
      <c r="J46" s="492">
        <f t="shared" si="11"/>
        <v>6000</v>
      </c>
      <c r="K46" s="493">
        <v>70</v>
      </c>
      <c r="L46" s="320"/>
      <c r="M46" s="500"/>
    </row>
    <row r="47" s="476" customFormat="1" ht="15" spans="1:13">
      <c r="A47" s="492">
        <v>7.5</v>
      </c>
      <c r="B47" s="493" t="s">
        <v>134</v>
      </c>
      <c r="C47" s="494">
        <f t="shared" si="12"/>
        <v>30</v>
      </c>
      <c r="D47" s="492"/>
      <c r="E47" s="493"/>
      <c r="F47" s="494"/>
      <c r="G47" s="492">
        <f t="shared" si="13"/>
        <v>30</v>
      </c>
      <c r="H47" s="495">
        <f t="shared" si="14"/>
        <v>0.00136363636363636</v>
      </c>
      <c r="I47" s="494" t="s">
        <v>120</v>
      </c>
      <c r="J47" s="492">
        <f t="shared" si="11"/>
        <v>6000</v>
      </c>
      <c r="K47" s="493">
        <v>50</v>
      </c>
      <c r="L47" s="320"/>
      <c r="M47" s="500"/>
    </row>
    <row r="48" s="476" customFormat="1" ht="15" spans="1:13">
      <c r="A48" s="488">
        <v>8</v>
      </c>
      <c r="B48" s="491" t="s">
        <v>135</v>
      </c>
      <c r="C48" s="489">
        <f>SUM(C49:C51)</f>
        <v>34.05</v>
      </c>
      <c r="D48" s="489">
        <f>SUM(D49:D51)</f>
        <v>0</v>
      </c>
      <c r="E48" s="489">
        <f>SUM(E49:E51)</f>
        <v>0</v>
      </c>
      <c r="F48" s="489">
        <f>SUM(F49:F51)</f>
        <v>0</v>
      </c>
      <c r="G48" s="489">
        <f>SUM(G49:G51)</f>
        <v>34.05</v>
      </c>
      <c r="H48" s="490">
        <f t="shared" si="14"/>
        <v>0.00154772727272727</v>
      </c>
      <c r="I48" s="488" t="s">
        <v>120</v>
      </c>
      <c r="J48" s="488">
        <v>1050</v>
      </c>
      <c r="K48" s="488"/>
      <c r="L48" s="320"/>
      <c r="M48" s="500"/>
    </row>
    <row r="49" s="476" customFormat="1" ht="15" spans="1:13">
      <c r="A49" s="492">
        <v>8.1</v>
      </c>
      <c r="B49" s="493" t="s">
        <v>136</v>
      </c>
      <c r="C49" s="494">
        <f t="shared" si="12"/>
        <v>31.5</v>
      </c>
      <c r="D49" s="494"/>
      <c r="E49" s="494"/>
      <c r="F49" s="494"/>
      <c r="G49" s="494">
        <f t="shared" si="13"/>
        <v>31.5</v>
      </c>
      <c r="H49" s="495">
        <f t="shared" si="14"/>
        <v>0.00143181818181818</v>
      </c>
      <c r="I49" s="492" t="s">
        <v>120</v>
      </c>
      <c r="J49" s="492">
        <f>J48</f>
        <v>1050</v>
      </c>
      <c r="K49" s="493">
        <v>300</v>
      </c>
      <c r="L49" s="320" t="s">
        <v>137</v>
      </c>
      <c r="M49" s="500"/>
    </row>
    <row r="50" s="476" customFormat="1" ht="15" spans="1:13">
      <c r="A50" s="492">
        <v>8.2</v>
      </c>
      <c r="B50" s="493" t="s">
        <v>138</v>
      </c>
      <c r="C50" s="494">
        <f t="shared" si="12"/>
        <v>1.05</v>
      </c>
      <c r="D50" s="494"/>
      <c r="E50" s="494"/>
      <c r="F50" s="494"/>
      <c r="G50" s="494">
        <f t="shared" si="13"/>
        <v>1.05</v>
      </c>
      <c r="H50" s="495">
        <f t="shared" si="14"/>
        <v>4.77272727272727e-5</v>
      </c>
      <c r="I50" s="492" t="s">
        <v>120</v>
      </c>
      <c r="J50" s="492">
        <f>J49</f>
        <v>1050</v>
      </c>
      <c r="K50" s="493">
        <v>10</v>
      </c>
      <c r="L50" s="320"/>
      <c r="M50" s="500"/>
    </row>
    <row r="51" s="476" customFormat="1" ht="15" spans="1:13">
      <c r="A51" s="492">
        <v>8.3</v>
      </c>
      <c r="B51" s="493" t="s">
        <v>139</v>
      </c>
      <c r="C51" s="494">
        <f t="shared" ref="C51:C55" si="15">ROUND(J51*K51/10000,2)</f>
        <v>1.5</v>
      </c>
      <c r="D51" s="494"/>
      <c r="E51" s="494"/>
      <c r="F51" s="494"/>
      <c r="G51" s="494">
        <f t="shared" ref="G51:G55" si="16">C51+E51+D51+F51</f>
        <v>1.5</v>
      </c>
      <c r="H51" s="495">
        <f t="shared" ref="H51:H69" si="17">G51/$G$95</f>
        <v>6.81818181818182e-5</v>
      </c>
      <c r="I51" s="492" t="s">
        <v>16</v>
      </c>
      <c r="J51" s="492">
        <v>1</v>
      </c>
      <c r="K51" s="493">
        <v>15000</v>
      </c>
      <c r="L51" s="320"/>
      <c r="M51" s="500"/>
    </row>
    <row r="52" s="476" customFormat="1" ht="15" spans="1:13">
      <c r="A52" s="488">
        <v>9</v>
      </c>
      <c r="B52" s="491" t="s">
        <v>140</v>
      </c>
      <c r="C52" s="489">
        <f t="shared" ref="C52:G52" si="18">SUM(C53:C55)</f>
        <v>435.78</v>
      </c>
      <c r="D52" s="489">
        <f t="shared" si="18"/>
        <v>0</v>
      </c>
      <c r="E52" s="489">
        <f t="shared" si="18"/>
        <v>0</v>
      </c>
      <c r="F52" s="489">
        <f t="shared" si="18"/>
        <v>0</v>
      </c>
      <c r="G52" s="489">
        <f t="shared" si="18"/>
        <v>435.78</v>
      </c>
      <c r="H52" s="490">
        <f t="shared" si="17"/>
        <v>0.0198081818181818</v>
      </c>
      <c r="I52" s="488" t="s">
        <v>141</v>
      </c>
      <c r="J52" s="488">
        <f>ROUND(49237/666.67,2)</f>
        <v>73.86</v>
      </c>
      <c r="K52" s="488"/>
      <c r="L52" s="320" t="s">
        <v>142</v>
      </c>
      <c r="M52" s="500"/>
    </row>
    <row r="53" s="476" customFormat="1" ht="15" spans="1:13">
      <c r="A53" s="492">
        <v>9.1</v>
      </c>
      <c r="B53" s="493" t="s">
        <v>143</v>
      </c>
      <c r="C53" s="494">
        <f t="shared" si="15"/>
        <v>44.32</v>
      </c>
      <c r="D53" s="494"/>
      <c r="E53" s="494"/>
      <c r="F53" s="494"/>
      <c r="G53" s="494">
        <f t="shared" si="16"/>
        <v>44.32</v>
      </c>
      <c r="H53" s="495">
        <f t="shared" si="17"/>
        <v>0.00201454545454545</v>
      </c>
      <c r="I53" s="488" t="s">
        <v>141</v>
      </c>
      <c r="J53" s="492">
        <f t="shared" ref="J53:J59" si="19">J52</f>
        <v>73.86</v>
      </c>
      <c r="K53" s="493">
        <v>6000</v>
      </c>
      <c r="L53" s="320"/>
      <c r="M53" s="500"/>
    </row>
    <row r="54" s="476" customFormat="1" ht="15" spans="1:13">
      <c r="A54" s="492">
        <v>9.2</v>
      </c>
      <c r="B54" s="493" t="s">
        <v>144</v>
      </c>
      <c r="C54" s="494">
        <f t="shared" si="15"/>
        <v>59.09</v>
      </c>
      <c r="D54" s="494"/>
      <c r="E54" s="494"/>
      <c r="F54" s="494"/>
      <c r="G54" s="494">
        <f t="shared" si="16"/>
        <v>59.09</v>
      </c>
      <c r="H54" s="495">
        <f t="shared" si="17"/>
        <v>0.00268590909090909</v>
      </c>
      <c r="I54" s="488" t="s">
        <v>141</v>
      </c>
      <c r="J54" s="492">
        <f t="shared" si="19"/>
        <v>73.86</v>
      </c>
      <c r="K54" s="493">
        <v>8000</v>
      </c>
      <c r="L54" s="320"/>
      <c r="M54" s="500"/>
    </row>
    <row r="55" s="476" customFormat="1" ht="15" spans="1:13">
      <c r="A55" s="492">
        <v>9.3</v>
      </c>
      <c r="B55" s="493" t="s">
        <v>145</v>
      </c>
      <c r="C55" s="494">
        <f t="shared" si="15"/>
        <v>332.37</v>
      </c>
      <c r="D55" s="494"/>
      <c r="E55" s="494"/>
      <c r="F55" s="494"/>
      <c r="G55" s="494">
        <f t="shared" si="16"/>
        <v>332.37</v>
      </c>
      <c r="H55" s="495">
        <f t="shared" si="17"/>
        <v>0.0151077272727273</v>
      </c>
      <c r="I55" s="488" t="s">
        <v>141</v>
      </c>
      <c r="J55" s="492">
        <f t="shared" si="19"/>
        <v>73.86</v>
      </c>
      <c r="K55" s="493">
        <v>45000</v>
      </c>
      <c r="L55" s="320"/>
      <c r="M55" s="500"/>
    </row>
    <row r="56" s="476" customFormat="1" ht="15" spans="1:13">
      <c r="A56" s="488">
        <v>10</v>
      </c>
      <c r="B56" s="491" t="s">
        <v>146</v>
      </c>
      <c r="C56" s="489">
        <f t="shared" ref="C56:G56" si="20">SUM(C57:C59)</f>
        <v>120.66</v>
      </c>
      <c r="D56" s="489">
        <f t="shared" si="20"/>
        <v>0</v>
      </c>
      <c r="E56" s="489">
        <f t="shared" si="20"/>
        <v>0</v>
      </c>
      <c r="F56" s="489">
        <f t="shared" si="20"/>
        <v>0</v>
      </c>
      <c r="G56" s="489">
        <f t="shared" si="20"/>
        <v>120.66</v>
      </c>
      <c r="H56" s="490">
        <f t="shared" si="17"/>
        <v>0.00548454545454545</v>
      </c>
      <c r="I56" s="488" t="s">
        <v>141</v>
      </c>
      <c r="J56" s="488">
        <f>ROUND(13631/666.67,2)</f>
        <v>20.45</v>
      </c>
      <c r="K56" s="488"/>
      <c r="L56" s="320" t="s">
        <v>147</v>
      </c>
      <c r="M56" s="500"/>
    </row>
    <row r="57" s="476" customFormat="1" ht="15" spans="1:13">
      <c r="A57" s="492">
        <v>10.1</v>
      </c>
      <c r="B57" s="493" t="s">
        <v>143</v>
      </c>
      <c r="C57" s="494">
        <f t="shared" ref="C57:C59" si="21">ROUND(J57*K57/10000,2)</f>
        <v>12.27</v>
      </c>
      <c r="D57" s="494"/>
      <c r="E57" s="494"/>
      <c r="F57" s="494"/>
      <c r="G57" s="494">
        <f t="shared" ref="G57:G59" si="22">C57+E57+D57+F57</f>
        <v>12.27</v>
      </c>
      <c r="H57" s="495">
        <f t="shared" si="17"/>
        <v>0.000557727272727273</v>
      </c>
      <c r="I57" s="488" t="s">
        <v>141</v>
      </c>
      <c r="J57" s="492">
        <f t="shared" si="19"/>
        <v>20.45</v>
      </c>
      <c r="K57" s="493">
        <f>K53</f>
        <v>6000</v>
      </c>
      <c r="L57" s="320"/>
      <c r="M57" s="500"/>
    </row>
    <row r="58" s="476" customFormat="1" ht="15" spans="1:13">
      <c r="A58" s="492">
        <v>10.2</v>
      </c>
      <c r="B58" s="493" t="s">
        <v>144</v>
      </c>
      <c r="C58" s="494">
        <f t="shared" si="21"/>
        <v>16.36</v>
      </c>
      <c r="D58" s="494"/>
      <c r="E58" s="494"/>
      <c r="F58" s="494"/>
      <c r="G58" s="494">
        <f t="shared" si="22"/>
        <v>16.36</v>
      </c>
      <c r="H58" s="495">
        <f t="shared" si="17"/>
        <v>0.000743636363636364</v>
      </c>
      <c r="I58" s="488" t="s">
        <v>141</v>
      </c>
      <c r="J58" s="492">
        <f t="shared" si="19"/>
        <v>20.45</v>
      </c>
      <c r="K58" s="493">
        <f>K54</f>
        <v>8000</v>
      </c>
      <c r="L58" s="320"/>
      <c r="M58" s="500"/>
    </row>
    <row r="59" s="476" customFormat="1" ht="15" spans="1:16">
      <c r="A59" s="492">
        <v>10.3</v>
      </c>
      <c r="B59" s="493" t="s">
        <v>145</v>
      </c>
      <c r="C59" s="494">
        <f t="shared" si="21"/>
        <v>92.03</v>
      </c>
      <c r="D59" s="494"/>
      <c r="E59" s="494"/>
      <c r="F59" s="494"/>
      <c r="G59" s="494">
        <f t="shared" si="22"/>
        <v>92.03</v>
      </c>
      <c r="H59" s="495">
        <f t="shared" si="17"/>
        <v>0.00418318181818182</v>
      </c>
      <c r="I59" s="488" t="s">
        <v>141</v>
      </c>
      <c r="J59" s="492">
        <f t="shared" si="19"/>
        <v>20.45</v>
      </c>
      <c r="K59" s="493">
        <f>K55</f>
        <v>45000</v>
      </c>
      <c r="L59" s="320"/>
      <c r="M59" s="500"/>
      <c r="O59" s="320" t="s">
        <v>3</v>
      </c>
      <c r="P59" s="320" t="s">
        <v>148</v>
      </c>
    </row>
    <row r="60" s="476" customFormat="1" ht="15" spans="1:16">
      <c r="A60" s="488">
        <v>11</v>
      </c>
      <c r="B60" s="491" t="s">
        <v>149</v>
      </c>
      <c r="C60" s="489">
        <f t="shared" ref="C60:G60" si="23">SUM(C61:C63)</f>
        <v>114.82</v>
      </c>
      <c r="D60" s="489">
        <f t="shared" si="23"/>
        <v>0</v>
      </c>
      <c r="E60" s="489">
        <f t="shared" si="23"/>
        <v>0</v>
      </c>
      <c r="F60" s="489">
        <f t="shared" si="23"/>
        <v>0</v>
      </c>
      <c r="G60" s="489">
        <f t="shared" si="23"/>
        <v>114.82</v>
      </c>
      <c r="H60" s="490">
        <f t="shared" si="17"/>
        <v>0.00521909090909091</v>
      </c>
      <c r="I60" s="488" t="s">
        <v>141</v>
      </c>
      <c r="J60" s="488">
        <f>ROUND(12972/666.67,2)</f>
        <v>19.46</v>
      </c>
      <c r="K60" s="488"/>
      <c r="L60" s="320" t="s">
        <v>150</v>
      </c>
      <c r="M60" s="500"/>
      <c r="O60" s="320">
        <v>114</v>
      </c>
      <c r="P60" s="320">
        <v>100</v>
      </c>
    </row>
    <row r="61" s="476" customFormat="1" ht="15" spans="1:16">
      <c r="A61" s="492">
        <v>11.1</v>
      </c>
      <c r="B61" s="493" t="s">
        <v>143</v>
      </c>
      <c r="C61" s="494">
        <f>ROUND(J61*K61/10000,2)</f>
        <v>11.68</v>
      </c>
      <c r="D61" s="494"/>
      <c r="E61" s="494"/>
      <c r="F61" s="494"/>
      <c r="G61" s="494">
        <f t="shared" ref="G61:G69" si="24">C61+E61+D61+F61</f>
        <v>11.68</v>
      </c>
      <c r="H61" s="495">
        <f t="shared" si="17"/>
        <v>0.000530909090909091</v>
      </c>
      <c r="I61" s="488" t="s">
        <v>141</v>
      </c>
      <c r="J61" s="492">
        <f t="shared" ref="J61:J63" si="25">J60</f>
        <v>19.46</v>
      </c>
      <c r="K61" s="493">
        <f>K57</f>
        <v>6000</v>
      </c>
      <c r="L61" s="320"/>
      <c r="M61" s="500">
        <f>J59+J54+J62</f>
        <v>113.77</v>
      </c>
      <c r="O61" s="320">
        <v>1233</v>
      </c>
      <c r="P61" s="320">
        <v>150</v>
      </c>
    </row>
    <row r="62" s="476" customFormat="1" ht="15" spans="1:16">
      <c r="A62" s="492">
        <v>11.2</v>
      </c>
      <c r="B62" s="493" t="s">
        <v>144</v>
      </c>
      <c r="C62" s="494">
        <f>ROUND(J62*K62/10000,2)</f>
        <v>15.57</v>
      </c>
      <c r="D62" s="494"/>
      <c r="E62" s="494"/>
      <c r="F62" s="494"/>
      <c r="G62" s="494">
        <f t="shared" si="24"/>
        <v>15.57</v>
      </c>
      <c r="H62" s="495">
        <f t="shared" si="17"/>
        <v>0.000707727272727273</v>
      </c>
      <c r="I62" s="488" t="s">
        <v>141</v>
      </c>
      <c r="J62" s="492">
        <f t="shared" si="25"/>
        <v>19.46</v>
      </c>
      <c r="K62" s="493">
        <f>K58</f>
        <v>8000</v>
      </c>
      <c r="L62" s="320"/>
      <c r="M62" s="500"/>
      <c r="O62" s="320">
        <v>177</v>
      </c>
      <c r="P62" s="320">
        <v>120</v>
      </c>
    </row>
    <row r="63" s="476" customFormat="1" ht="15" spans="1:16">
      <c r="A63" s="492">
        <v>11.3</v>
      </c>
      <c r="B63" s="493" t="s">
        <v>145</v>
      </c>
      <c r="C63" s="494">
        <f>ROUND(J63*K63/10000,2)</f>
        <v>87.57</v>
      </c>
      <c r="D63" s="494"/>
      <c r="E63" s="494"/>
      <c r="F63" s="494"/>
      <c r="G63" s="494">
        <f t="shared" si="24"/>
        <v>87.57</v>
      </c>
      <c r="H63" s="495">
        <f t="shared" si="17"/>
        <v>0.00398045454545454</v>
      </c>
      <c r="I63" s="488" t="s">
        <v>141</v>
      </c>
      <c r="J63" s="492">
        <f t="shared" si="25"/>
        <v>19.46</v>
      </c>
      <c r="K63" s="493">
        <f>K59</f>
        <v>45000</v>
      </c>
      <c r="L63" s="320"/>
      <c r="M63" s="500"/>
      <c r="O63" s="320">
        <v>431</v>
      </c>
      <c r="P63" s="320">
        <v>160</v>
      </c>
    </row>
    <row r="64" s="476" customFormat="1" spans="1:13">
      <c r="A64" s="488" t="s">
        <v>151</v>
      </c>
      <c r="B64" s="488" t="s">
        <v>152</v>
      </c>
      <c r="C64" s="489">
        <f>SUM(C65:C69)</f>
        <v>2630</v>
      </c>
      <c r="D64" s="489">
        <f>SUM(D65:D69)</f>
        <v>0</v>
      </c>
      <c r="E64" s="489">
        <f>SUM(E65:E69)</f>
        <v>0</v>
      </c>
      <c r="F64" s="489">
        <f>SUM(F65:F69)</f>
        <v>0</v>
      </c>
      <c r="G64" s="489">
        <f t="shared" si="24"/>
        <v>2630</v>
      </c>
      <c r="H64" s="490">
        <f t="shared" si="17"/>
        <v>0.119545454545455</v>
      </c>
      <c r="I64" s="488" t="s">
        <v>16</v>
      </c>
      <c r="J64" s="488">
        <v>1</v>
      </c>
      <c r="K64" s="498"/>
      <c r="L64" s="320"/>
      <c r="M64" s="500"/>
    </row>
    <row r="65" s="476" customFormat="1" ht="15" spans="1:13">
      <c r="A65" s="488">
        <v>1</v>
      </c>
      <c r="B65" s="491" t="s">
        <v>153</v>
      </c>
      <c r="C65" s="494">
        <f>ROUND(J65*K65/10000,2)</f>
        <v>650</v>
      </c>
      <c r="D65" s="489"/>
      <c r="E65" s="489"/>
      <c r="F65" s="489"/>
      <c r="G65" s="489">
        <f t="shared" si="24"/>
        <v>650</v>
      </c>
      <c r="H65" s="490">
        <f t="shared" si="17"/>
        <v>0.0295454545454545</v>
      </c>
      <c r="I65" s="489" t="s">
        <v>16</v>
      </c>
      <c r="J65" s="506">
        <v>1</v>
      </c>
      <c r="K65" s="491">
        <v>6500000</v>
      </c>
      <c r="L65" s="320"/>
      <c r="M65" s="500"/>
    </row>
    <row r="66" s="476" customFormat="1" ht="15" spans="1:13">
      <c r="A66" s="488">
        <v>2</v>
      </c>
      <c r="B66" s="491" t="s">
        <v>154</v>
      </c>
      <c r="C66" s="494">
        <f>ROUND(J66*K66/10000,2)</f>
        <v>360</v>
      </c>
      <c r="D66" s="489"/>
      <c r="E66" s="489"/>
      <c r="F66" s="489"/>
      <c r="G66" s="489">
        <f t="shared" si="24"/>
        <v>360</v>
      </c>
      <c r="H66" s="490">
        <f t="shared" si="17"/>
        <v>0.0163636363636364</v>
      </c>
      <c r="I66" s="489" t="s">
        <v>16</v>
      </c>
      <c r="J66" s="506">
        <v>1</v>
      </c>
      <c r="K66" s="491">
        <v>3600000</v>
      </c>
      <c r="L66" s="320"/>
      <c r="M66" s="500"/>
    </row>
    <row r="67" s="476" customFormat="1" ht="15" spans="1:13">
      <c r="A67" s="488">
        <v>3</v>
      </c>
      <c r="B67" s="491" t="s">
        <v>155</v>
      </c>
      <c r="C67" s="494">
        <f>ROUND(J67*K67/10000,2)</f>
        <v>420</v>
      </c>
      <c r="D67" s="489"/>
      <c r="E67" s="489"/>
      <c r="F67" s="489"/>
      <c r="G67" s="489">
        <f t="shared" si="24"/>
        <v>420</v>
      </c>
      <c r="H67" s="490">
        <f t="shared" si="17"/>
        <v>0.0190909090909091</v>
      </c>
      <c r="I67" s="489" t="s">
        <v>16</v>
      </c>
      <c r="J67" s="506">
        <v>1</v>
      </c>
      <c r="K67" s="491">
        <v>4200000</v>
      </c>
      <c r="L67" s="320"/>
      <c r="M67" s="500"/>
    </row>
    <row r="68" s="476" customFormat="1" ht="15" spans="1:13">
      <c r="A68" s="488">
        <v>4</v>
      </c>
      <c r="B68" s="491" t="s">
        <v>156</v>
      </c>
      <c r="C68" s="494">
        <f>ROUND(J68*K68/10000,2)</f>
        <v>320</v>
      </c>
      <c r="D68" s="489"/>
      <c r="E68" s="489"/>
      <c r="F68" s="489"/>
      <c r="G68" s="489">
        <f t="shared" si="24"/>
        <v>320</v>
      </c>
      <c r="H68" s="490">
        <f t="shared" si="17"/>
        <v>0.0145454545454545</v>
      </c>
      <c r="I68" s="489" t="s">
        <v>16</v>
      </c>
      <c r="J68" s="506">
        <v>1</v>
      </c>
      <c r="K68" s="498">
        <v>3200000</v>
      </c>
      <c r="L68" s="499"/>
      <c r="M68" s="500"/>
    </row>
    <row r="69" s="476" customFormat="1" ht="15" spans="1:13">
      <c r="A69" s="488">
        <v>5</v>
      </c>
      <c r="B69" s="491" t="s">
        <v>157</v>
      </c>
      <c r="C69" s="494">
        <f>ROUND(J69*K69/10000,2)</f>
        <v>880</v>
      </c>
      <c r="D69" s="489"/>
      <c r="E69" s="489"/>
      <c r="F69" s="489"/>
      <c r="G69" s="489">
        <f t="shared" si="24"/>
        <v>880</v>
      </c>
      <c r="H69" s="490">
        <f t="shared" si="17"/>
        <v>0.04</v>
      </c>
      <c r="I69" s="489" t="s">
        <v>16</v>
      </c>
      <c r="J69" s="506">
        <v>1</v>
      </c>
      <c r="K69" s="489">
        <v>8800000</v>
      </c>
      <c r="L69" s="489"/>
      <c r="M69" s="500"/>
    </row>
    <row r="70" s="476" customFormat="1" spans="1:13">
      <c r="A70" s="485" t="s">
        <v>17</v>
      </c>
      <c r="B70" s="485" t="s">
        <v>27</v>
      </c>
      <c r="C70" s="501"/>
      <c r="D70" s="501"/>
      <c r="E70" s="501"/>
      <c r="F70" s="501">
        <f>SUM(F71:F89)</f>
        <v>2754.06</v>
      </c>
      <c r="G70" s="501">
        <f t="shared" ref="G70:G92" si="26">F70</f>
        <v>2754.06</v>
      </c>
      <c r="H70" s="502">
        <f t="shared" ref="H70:H88" si="27">G70/$G$95</f>
        <v>0.125184545454545</v>
      </c>
      <c r="I70" s="497"/>
      <c r="J70" s="497"/>
      <c r="K70" s="497"/>
      <c r="L70" s="497"/>
      <c r="M70" s="500"/>
    </row>
    <row r="71" s="476" customFormat="1" spans="1:13">
      <c r="A71" s="492">
        <v>1</v>
      </c>
      <c r="B71" s="492" t="str">
        <f>其他费自动计算!B12</f>
        <v>建设单位管理费</v>
      </c>
      <c r="C71" s="503"/>
      <c r="D71" s="494"/>
      <c r="E71" s="494"/>
      <c r="F71" s="494">
        <f>ROUND(其他费自动计算!C12,2)</f>
        <v>213.86</v>
      </c>
      <c r="G71" s="494">
        <f t="shared" si="26"/>
        <v>213.86</v>
      </c>
      <c r="H71" s="495">
        <f t="shared" si="27"/>
        <v>0.00972090909090909</v>
      </c>
      <c r="I71" s="492" t="str">
        <f>工程建设其他费细则说明!E4</f>
        <v>财建[2016]504号</v>
      </c>
      <c r="J71" s="492"/>
      <c r="K71" s="492"/>
      <c r="L71" s="492"/>
      <c r="M71" s="500"/>
    </row>
    <row r="72" s="476" customFormat="1" spans="1:13">
      <c r="A72" s="492">
        <v>2</v>
      </c>
      <c r="B72" s="492" t="str">
        <f>其他费自动计算!B13</f>
        <v>场地准备及临时设施费</v>
      </c>
      <c r="C72" s="503"/>
      <c r="D72" s="494"/>
      <c r="E72" s="494"/>
      <c r="F72" s="494">
        <f>ROUND(其他费自动计算!C13,2)</f>
        <v>173.86</v>
      </c>
      <c r="G72" s="494">
        <f t="shared" si="26"/>
        <v>173.86</v>
      </c>
      <c r="H72" s="495">
        <f t="shared" si="27"/>
        <v>0.00790272727272727</v>
      </c>
      <c r="I72" s="492" t="str">
        <f>工程建设其他费细则说明!E18</f>
        <v>建标〔2011〕1号</v>
      </c>
      <c r="J72" s="492"/>
      <c r="K72" s="492"/>
      <c r="L72" s="492"/>
      <c r="M72" s="500"/>
    </row>
    <row r="73" s="476" customFormat="1" spans="1:13">
      <c r="A73" s="492">
        <v>3</v>
      </c>
      <c r="B73" s="492" t="str">
        <f>其他费自动计算!B14</f>
        <v>前期工作咨询费</v>
      </c>
      <c r="C73" s="504"/>
      <c r="D73" s="494"/>
      <c r="E73" s="494"/>
      <c r="F73" s="494">
        <f>ROUND(其他费自动计算!C14,2)</f>
        <v>21.14</v>
      </c>
      <c r="G73" s="494">
        <f t="shared" si="26"/>
        <v>21.14</v>
      </c>
      <c r="H73" s="495">
        <f t="shared" si="27"/>
        <v>0.000960909090909091</v>
      </c>
      <c r="I73" s="492" t="str">
        <f>工程建设其他费细则说明!E21</f>
        <v>计价格［1999］1283号</v>
      </c>
      <c r="J73" s="492"/>
      <c r="K73" s="492"/>
      <c r="L73" s="492"/>
      <c r="M73" s="500"/>
    </row>
    <row r="74" s="476" customFormat="1" spans="1:13">
      <c r="A74" s="492">
        <v>4</v>
      </c>
      <c r="B74" s="492" t="str">
        <f>其他费自动计算!B15</f>
        <v>勘察费</v>
      </c>
      <c r="C74" s="504"/>
      <c r="D74" s="494"/>
      <c r="E74" s="494"/>
      <c r="F74" s="494">
        <f>ROUND(其他费自动计算!C15,2)</f>
        <v>173.86</v>
      </c>
      <c r="G74" s="494">
        <f t="shared" si="26"/>
        <v>173.86</v>
      </c>
      <c r="H74" s="495">
        <f t="shared" si="27"/>
        <v>0.00790272727272727</v>
      </c>
      <c r="I74" s="492" t="str">
        <f>工程建设其他费细则说明!E36</f>
        <v>建标〔2011〕1号</v>
      </c>
      <c r="J74" s="492"/>
      <c r="K74" s="492"/>
      <c r="L74" s="492"/>
      <c r="M74" s="500"/>
    </row>
    <row r="75" s="476" customFormat="1" spans="1:13">
      <c r="A75" s="492">
        <v>5</v>
      </c>
      <c r="B75" s="492" t="str">
        <f>其他费自动计算!B16</f>
        <v>设计费</v>
      </c>
      <c r="C75" s="504"/>
      <c r="D75" s="494"/>
      <c r="E75" s="494"/>
      <c r="F75" s="494">
        <f>ROUND(其他费自动计算!C16,2)</f>
        <v>498.31</v>
      </c>
      <c r="G75" s="494">
        <f t="shared" si="26"/>
        <v>498.31</v>
      </c>
      <c r="H75" s="495">
        <f t="shared" si="27"/>
        <v>0.0226504545454545</v>
      </c>
      <c r="I75" s="492" t="str">
        <f>工程建设其他费细则说明!E37</f>
        <v>计价格[2002]10号</v>
      </c>
      <c r="J75" s="492"/>
      <c r="K75" s="492"/>
      <c r="L75" s="492"/>
      <c r="M75" s="500"/>
    </row>
    <row r="76" s="476" customFormat="1" spans="1:13">
      <c r="A76" s="492">
        <v>6</v>
      </c>
      <c r="B76" s="492" t="str">
        <f>其他费自动计算!B17</f>
        <v>工程监理费</v>
      </c>
      <c r="C76" s="494"/>
      <c r="D76" s="494"/>
      <c r="E76" s="494"/>
      <c r="F76" s="494">
        <f>ROUND(其他费自动计算!C17,2)</f>
        <v>347.7</v>
      </c>
      <c r="G76" s="494">
        <f t="shared" si="26"/>
        <v>347.7</v>
      </c>
      <c r="H76" s="495">
        <f t="shared" si="27"/>
        <v>0.0158045454545455</v>
      </c>
      <c r="I76" s="492" t="str">
        <f>工程建设其他费细则说明!E38</f>
        <v>发改价格[2007]670号</v>
      </c>
      <c r="J76" s="492"/>
      <c r="K76" s="492"/>
      <c r="L76" s="492"/>
      <c r="M76" s="500"/>
    </row>
    <row r="77" s="476" customFormat="1" spans="1:13">
      <c r="A77" s="492">
        <v>7</v>
      </c>
      <c r="B77" s="492" t="str">
        <f>其他费自动计算!B18</f>
        <v>招标代理费</v>
      </c>
      <c r="C77" s="494"/>
      <c r="D77" s="494"/>
      <c r="E77" s="494"/>
      <c r="F77" s="494">
        <f>ROUND(其他费自动计算!C18,2)</f>
        <v>44.5</v>
      </c>
      <c r="G77" s="494">
        <f t="shared" si="26"/>
        <v>44.5</v>
      </c>
      <c r="H77" s="495">
        <f t="shared" si="27"/>
        <v>0.00202272727272727</v>
      </c>
      <c r="I77" s="492" t="str">
        <f>工程建设其他费细则说明!E42</f>
        <v>发改价格[2011]534号</v>
      </c>
      <c r="J77" s="492"/>
      <c r="K77" s="492"/>
      <c r="L77" s="492"/>
      <c r="M77" s="500"/>
    </row>
    <row r="78" s="476" customFormat="1" spans="1:13">
      <c r="A78" s="492">
        <v>8</v>
      </c>
      <c r="B78" s="492" t="str">
        <f>其他费自动计算!B19</f>
        <v>施工图审查费</v>
      </c>
      <c r="C78" s="494"/>
      <c r="D78" s="494"/>
      <c r="E78" s="494"/>
      <c r="F78" s="494">
        <f>ROUND(其他费自动计算!C19,2)</f>
        <v>18.99</v>
      </c>
      <c r="G78" s="494">
        <f t="shared" si="26"/>
        <v>18.99</v>
      </c>
      <c r="H78" s="495">
        <f t="shared" si="27"/>
        <v>0.000863181818181818</v>
      </c>
      <c r="I78" s="492" t="str">
        <f>工程建设其他费细则说明!E43</f>
        <v>赣价房字[2000]6号</v>
      </c>
      <c r="J78" s="492"/>
      <c r="K78" s="492"/>
      <c r="L78" s="492"/>
      <c r="M78" s="500"/>
    </row>
    <row r="79" s="476" customFormat="1" spans="1:13">
      <c r="A79" s="492">
        <v>9</v>
      </c>
      <c r="B79" s="492" t="str">
        <f>其他费自动计算!B20</f>
        <v>工程造价咨询费</v>
      </c>
      <c r="C79" s="494"/>
      <c r="D79" s="494"/>
      <c r="E79" s="494"/>
      <c r="F79" s="494">
        <f>ROUND(其他费自动计算!C20,2)</f>
        <v>127.17</v>
      </c>
      <c r="G79" s="494">
        <f t="shared" si="26"/>
        <v>127.17</v>
      </c>
      <c r="H79" s="495">
        <f t="shared" si="27"/>
        <v>0.00578045454545455</v>
      </c>
      <c r="I79" s="492" t="str">
        <f>工程建设其他费细则说明!E45</f>
        <v>赣价协[2021]23号</v>
      </c>
      <c r="J79" s="492"/>
      <c r="K79" s="492"/>
      <c r="L79" s="492"/>
      <c r="M79" s="500"/>
    </row>
    <row r="80" s="476" customFormat="1" spans="1:13">
      <c r="A80" s="492">
        <v>10</v>
      </c>
      <c r="B80" s="492" t="str">
        <f>其他费自动计算!B21</f>
        <v>工程保险费</v>
      </c>
      <c r="C80" s="504"/>
      <c r="D80" s="494"/>
      <c r="E80" s="494"/>
      <c r="F80" s="494">
        <f>ROUND(其他费自动计算!C21,2)</f>
        <v>86.93</v>
      </c>
      <c r="G80" s="494">
        <f t="shared" si="26"/>
        <v>86.93</v>
      </c>
      <c r="H80" s="495">
        <f t="shared" si="27"/>
        <v>0.00395136363636364</v>
      </c>
      <c r="I80" s="492" t="str">
        <f>工程建设其他费细则说明!E46</f>
        <v>建标〔2011〕1号</v>
      </c>
      <c r="J80" s="492"/>
      <c r="K80" s="492"/>
      <c r="L80" s="492"/>
      <c r="M80" s="500"/>
    </row>
    <row r="81" s="476" customFormat="1" spans="1:13">
      <c r="A81" s="492">
        <v>11</v>
      </c>
      <c r="B81" s="492" t="str">
        <f>其他费自动计算!B22</f>
        <v>环境影响评价费</v>
      </c>
      <c r="C81" s="504"/>
      <c r="D81" s="494"/>
      <c r="E81" s="494"/>
      <c r="F81" s="494">
        <f>ROUND(其他费自动计算!C22,2)</f>
        <v>5.24</v>
      </c>
      <c r="G81" s="494">
        <f t="shared" si="26"/>
        <v>5.24</v>
      </c>
      <c r="H81" s="495">
        <f t="shared" si="27"/>
        <v>0.000238181818181818</v>
      </c>
      <c r="I81" s="492" t="str">
        <f>工程建设其他费细则说明!E23</f>
        <v> 计价格[2002]125 号</v>
      </c>
      <c r="J81" s="492"/>
      <c r="K81" s="492"/>
      <c r="L81" s="492"/>
      <c r="M81" s="500"/>
    </row>
    <row r="82" s="476" customFormat="1" spans="1:13">
      <c r="A82" s="492">
        <v>12</v>
      </c>
      <c r="B82" s="492" t="str">
        <f>其他费自动计算!B23</f>
        <v>节能评估费</v>
      </c>
      <c r="C82" s="505"/>
      <c r="D82" s="494"/>
      <c r="E82" s="494"/>
      <c r="F82" s="494">
        <f>ROUND(其他费自动计算!C23,2)</f>
        <v>7.29</v>
      </c>
      <c r="G82" s="494">
        <f t="shared" si="26"/>
        <v>7.29</v>
      </c>
      <c r="H82" s="495">
        <f t="shared" si="27"/>
        <v>0.000331363636363636</v>
      </c>
      <c r="I82" s="492" t="str">
        <f>工程建设其他费细则说明!E29</f>
        <v>沪发改环资（2012）043号</v>
      </c>
      <c r="J82" s="492"/>
      <c r="K82" s="492"/>
      <c r="L82" s="492"/>
      <c r="M82" s="500"/>
    </row>
    <row r="83" s="476" customFormat="1" spans="1:13">
      <c r="A83" s="492">
        <v>13</v>
      </c>
      <c r="B83" s="492" t="str">
        <f>其他费自动计算!B24</f>
        <v>水土保持评价费</v>
      </c>
      <c r="C83" s="494"/>
      <c r="D83" s="494"/>
      <c r="E83" s="494"/>
      <c r="F83" s="494">
        <f>ROUND(其他费自动计算!C24,2)</f>
        <v>66.77</v>
      </c>
      <c r="G83" s="494">
        <f t="shared" si="26"/>
        <v>66.77</v>
      </c>
      <c r="H83" s="495">
        <f t="shared" si="27"/>
        <v>0.003035</v>
      </c>
      <c r="I83" s="492" t="str">
        <f>工程建设其他费细则说明!E27</f>
        <v>保监[2005]22 号 2005 年 6 月 17 日</v>
      </c>
      <c r="J83" s="492"/>
      <c r="K83" s="492"/>
      <c r="L83" s="492"/>
      <c r="M83" s="500"/>
    </row>
    <row r="84" s="476" customFormat="1" spans="1:13">
      <c r="A84" s="492">
        <v>14</v>
      </c>
      <c r="B84" s="492" t="str">
        <f>其他费自动计算!B25</f>
        <v>劳动安全卫生评审费</v>
      </c>
      <c r="C84" s="494"/>
      <c r="D84" s="494"/>
      <c r="E84" s="494"/>
      <c r="F84" s="494">
        <f>ROUND(其他费自动计算!C25,2)</f>
        <v>86.93</v>
      </c>
      <c r="G84" s="494">
        <f t="shared" si="26"/>
        <v>86.93</v>
      </c>
      <c r="H84" s="495">
        <f t="shared" si="27"/>
        <v>0.00395136363636364</v>
      </c>
      <c r="I84" s="492" t="str">
        <f>工程建设其他费细则说明!E32</f>
        <v>建标〔2011〕1号</v>
      </c>
      <c r="J84" s="492"/>
      <c r="K84" s="492"/>
      <c r="L84" s="492"/>
      <c r="M84" s="500"/>
    </row>
    <row r="85" s="476" customFormat="1" spans="1:13">
      <c r="A85" s="492">
        <v>15</v>
      </c>
      <c r="B85" s="492" t="str">
        <f>其他费自动计算!B26</f>
        <v>社会稳定风险评估费</v>
      </c>
      <c r="C85" s="494"/>
      <c r="D85" s="494"/>
      <c r="E85" s="494"/>
      <c r="F85" s="494">
        <f>ROUND(其他费自动计算!C26,2)</f>
        <v>5.66</v>
      </c>
      <c r="G85" s="494">
        <f t="shared" si="26"/>
        <v>5.66</v>
      </c>
      <c r="H85" s="495">
        <f t="shared" si="27"/>
        <v>0.000257272727272727</v>
      </c>
      <c r="I85" s="495" t="str">
        <f>工程建设其他费细则说明!E31</f>
        <v>赣评审字[2015]70 号</v>
      </c>
      <c r="J85" s="495"/>
      <c r="K85" s="495"/>
      <c r="L85" s="495"/>
      <c r="M85" s="500"/>
    </row>
    <row r="86" s="476" customFormat="1" spans="1:13">
      <c r="A86" s="492">
        <v>16</v>
      </c>
      <c r="B86" s="492" t="str">
        <f>其他费自动计算!B27</f>
        <v>安全预评价费</v>
      </c>
      <c r="C86" s="494"/>
      <c r="D86" s="494"/>
      <c r="E86" s="494"/>
      <c r="F86" s="494">
        <f>ROUND(其他费自动计算!C27,2)</f>
        <v>7.2</v>
      </c>
      <c r="G86" s="494">
        <f t="shared" si="26"/>
        <v>7.2</v>
      </c>
      <c r="H86" s="495">
        <f t="shared" si="27"/>
        <v>0.000327272727272727</v>
      </c>
      <c r="I86" s="495" t="str">
        <f>工程建设其他费细则说明!E24</f>
        <v>江西省安全评价收费指导价格（试行）</v>
      </c>
      <c r="J86" s="495"/>
      <c r="K86" s="495"/>
      <c r="L86" s="495"/>
      <c r="M86" s="500"/>
    </row>
    <row r="87" s="476" customFormat="1" hidden="1" spans="1:13">
      <c r="A87" s="492">
        <v>17</v>
      </c>
      <c r="B87" s="492" t="str">
        <f>其他费自动计算!B28</f>
        <v>交通影响评估费</v>
      </c>
      <c r="C87" s="494"/>
      <c r="D87" s="494"/>
      <c r="E87" s="494"/>
      <c r="F87" s="494">
        <f>ROUND(其他费自动计算!C28,2)</f>
        <v>0</v>
      </c>
      <c r="G87" s="494">
        <f t="shared" si="26"/>
        <v>0</v>
      </c>
      <c r="H87" s="495">
        <f t="shared" si="27"/>
        <v>0</v>
      </c>
      <c r="I87" s="495" t="str">
        <f>工程建设其他费细则说明!E33</f>
        <v>5万平米（含）以下，2元/平米，5-20万平米，2元/平米，20-100万平米，1.5元/平米，100-200万平米，1.0元/平米；大于200万平米的，0.8元/平米</v>
      </c>
      <c r="J87" s="495"/>
      <c r="K87" s="495"/>
      <c r="L87" s="495"/>
      <c r="M87" s="500"/>
    </row>
    <row r="88" s="476" customFormat="1" spans="1:13">
      <c r="A88" s="492">
        <v>17</v>
      </c>
      <c r="B88" s="492" t="s">
        <v>158</v>
      </c>
      <c r="C88" s="494"/>
      <c r="D88" s="494"/>
      <c r="E88" s="494"/>
      <c r="F88" s="494">
        <f>ROUND((O60*P60+O61*P61+O62*P62+O63*P63)*30/10000,2)</f>
        <v>859.65</v>
      </c>
      <c r="G88" s="494">
        <f t="shared" si="26"/>
        <v>859.65</v>
      </c>
      <c r="H88" s="495">
        <f t="shared" si="27"/>
        <v>0.039075</v>
      </c>
      <c r="I88" s="507" t="s">
        <v>159</v>
      </c>
      <c r="J88" s="508"/>
      <c r="K88" s="508"/>
      <c r="L88" s="509"/>
      <c r="M88" s="500"/>
    </row>
    <row r="89" s="476" customFormat="1" spans="1:13">
      <c r="A89" s="492">
        <v>18</v>
      </c>
      <c r="B89" s="492" t="s">
        <v>160</v>
      </c>
      <c r="C89" s="494"/>
      <c r="D89" s="494"/>
      <c r="E89" s="494"/>
      <c r="F89" s="494">
        <f>ROUND(还本付息!E38*I89,2)</f>
        <v>9</v>
      </c>
      <c r="G89" s="494">
        <f t="shared" si="26"/>
        <v>9</v>
      </c>
      <c r="H89" s="495">
        <f t="shared" ref="H89:H95" si="28">G89/$G$95</f>
        <v>0.000409090909090909</v>
      </c>
      <c r="I89" s="510">
        <v>0.001</v>
      </c>
      <c r="J89" s="510"/>
      <c r="K89" s="510"/>
      <c r="L89" s="510"/>
      <c r="M89" s="500"/>
    </row>
    <row r="90" s="476" customFormat="1" spans="1:13">
      <c r="A90" s="485" t="s">
        <v>161</v>
      </c>
      <c r="B90" s="485" t="s">
        <v>162</v>
      </c>
      <c r="C90" s="501"/>
      <c r="D90" s="501"/>
      <c r="E90" s="501"/>
      <c r="F90" s="486">
        <f>F91+F92</f>
        <v>1590.16</v>
      </c>
      <c r="G90" s="486">
        <f t="shared" si="26"/>
        <v>1590.16</v>
      </c>
      <c r="H90" s="502">
        <f t="shared" si="28"/>
        <v>0.07228</v>
      </c>
      <c r="I90" s="497"/>
      <c r="J90" s="497"/>
      <c r="K90" s="497"/>
      <c r="L90" s="497"/>
      <c r="M90" s="500"/>
    </row>
    <row r="91" s="476" customFormat="1" spans="1:13">
      <c r="A91" s="492">
        <v>1</v>
      </c>
      <c r="B91" s="492" t="s">
        <v>28</v>
      </c>
      <c r="C91" s="494"/>
      <c r="D91" s="494"/>
      <c r="E91" s="494"/>
      <c r="F91" s="494">
        <f>ROUND((G3+G70)*8%,2)-21.03</f>
        <v>1590.16</v>
      </c>
      <c r="G91" s="494">
        <f t="shared" si="26"/>
        <v>1590.16</v>
      </c>
      <c r="H91" s="495">
        <f t="shared" si="28"/>
        <v>0.07228</v>
      </c>
      <c r="I91" s="511" t="s">
        <v>163</v>
      </c>
      <c r="J91" s="511"/>
      <c r="K91" s="511"/>
      <c r="L91" s="511"/>
      <c r="M91" s="500"/>
    </row>
    <row r="92" s="476" customFormat="1" hidden="1" spans="1:13">
      <c r="A92" s="492">
        <v>2</v>
      </c>
      <c r="B92" s="492" t="s">
        <v>164</v>
      </c>
      <c r="C92" s="494"/>
      <c r="D92" s="494"/>
      <c r="E92" s="494"/>
      <c r="F92" s="494">
        <v>0</v>
      </c>
      <c r="G92" s="494">
        <f t="shared" si="26"/>
        <v>0</v>
      </c>
      <c r="H92" s="495">
        <f t="shared" si="28"/>
        <v>0</v>
      </c>
      <c r="I92" s="492"/>
      <c r="J92" s="492"/>
      <c r="K92" s="492"/>
      <c r="L92" s="492"/>
      <c r="M92" s="500"/>
    </row>
    <row r="93" s="476" customFormat="1" spans="1:13">
      <c r="A93" s="492"/>
      <c r="B93" s="488" t="s">
        <v>165</v>
      </c>
      <c r="C93" s="494">
        <f>C3+C70+C90</f>
        <v>17385.78</v>
      </c>
      <c r="D93" s="494">
        <f>D3+D70+D90</f>
        <v>0</v>
      </c>
      <c r="E93" s="494">
        <f>E3+E70+E90</f>
        <v>0</v>
      </c>
      <c r="F93" s="494">
        <f>F3+F70+F90</f>
        <v>4344.22</v>
      </c>
      <c r="G93" s="489">
        <f>C93+E93+D93+F93</f>
        <v>21730</v>
      </c>
      <c r="H93" s="490">
        <f t="shared" si="28"/>
        <v>0.987727272727273</v>
      </c>
      <c r="I93" s="492"/>
      <c r="J93" s="492"/>
      <c r="K93" s="492"/>
      <c r="L93" s="492"/>
      <c r="M93" s="500"/>
    </row>
    <row r="94" s="476" customFormat="1" spans="1:13">
      <c r="A94" s="485" t="s">
        <v>166</v>
      </c>
      <c r="B94" s="485" t="s">
        <v>29</v>
      </c>
      <c r="C94" s="501"/>
      <c r="D94" s="501"/>
      <c r="E94" s="501"/>
      <c r="F94" s="501">
        <f>G94</f>
        <v>270</v>
      </c>
      <c r="G94" s="486">
        <f>分年计划及建设期利息!D20</f>
        <v>270</v>
      </c>
      <c r="H94" s="502">
        <f t="shared" si="28"/>
        <v>0.0122727272727273</v>
      </c>
      <c r="I94" s="512" t="s">
        <v>167</v>
      </c>
      <c r="J94" s="513"/>
      <c r="K94" s="513"/>
      <c r="L94" s="513"/>
      <c r="M94" s="500"/>
    </row>
    <row r="95" s="476" customFormat="1" spans="1:13">
      <c r="A95" s="488" t="s">
        <v>168</v>
      </c>
      <c r="B95" s="488" t="s">
        <v>19</v>
      </c>
      <c r="C95" s="489">
        <f>C3+C70+C90+C94</f>
        <v>17385.78</v>
      </c>
      <c r="D95" s="489">
        <f>D3+D70+D90+D94</f>
        <v>0</v>
      </c>
      <c r="E95" s="489">
        <f>E3+E70+E90+E94</f>
        <v>0</v>
      </c>
      <c r="F95" s="489">
        <f>F3+F70+F90+F94</f>
        <v>4614.22</v>
      </c>
      <c r="G95" s="489">
        <f>G93+G94</f>
        <v>22000</v>
      </c>
      <c r="H95" s="490">
        <f t="shared" si="28"/>
        <v>1</v>
      </c>
      <c r="I95" s="492"/>
      <c r="J95" s="492"/>
      <c r="K95" s="492"/>
      <c r="L95" s="492"/>
      <c r="M95" s="500"/>
    </row>
    <row r="96" s="476" customFormat="1" spans="1:13">
      <c r="A96"/>
      <c r="B96"/>
      <c r="C96"/>
      <c r="D96"/>
      <c r="E96"/>
      <c r="F96"/>
      <c r="G96"/>
      <c r="H96"/>
      <c r="I96"/>
      <c r="J96"/>
      <c r="K96"/>
      <c r="L96"/>
      <c r="M96" s="500"/>
    </row>
    <row r="97" s="476" customFormat="1" spans="1:13">
      <c r="A97"/>
      <c r="C97"/>
      <c r="D97"/>
      <c r="E97"/>
      <c r="F97"/>
      <c r="G97"/>
      <c r="H97"/>
      <c r="I97"/>
      <c r="J97"/>
      <c r="K97"/>
      <c r="L97"/>
      <c r="M97" s="500" t="s">
        <v>169</v>
      </c>
    </row>
    <row r="98" spans="13:13">
      <c r="M98" s="9" t="s">
        <v>170</v>
      </c>
    </row>
    <row r="100" ht="14.4" customHeight="1"/>
    <row r="101" ht="14.4" customHeight="1"/>
    <row r="102" ht="14.4" customHeight="1"/>
    <row r="103" ht="14.4" customHeight="1"/>
    <row r="104" ht="14.4" customHeight="1"/>
    <row r="105" ht="14.4" customHeight="1"/>
    <row r="106" ht="14.4" customHeight="1"/>
    <row r="107" ht="14.4" customHeight="1"/>
    <row r="108" ht="14.4" customHeight="1"/>
    <row r="109" ht="14.4" customHeight="1"/>
    <row r="110" ht="14.4" customHeight="1"/>
    <row r="111" ht="14.4" customHeight="1"/>
    <row r="112" ht="14.4" customHeight="1"/>
    <row r="113" ht="14.4" customHeight="1"/>
    <row r="114" ht="14.4" customHeight="1"/>
    <row r="115" ht="14.4" customHeight="1"/>
    <row r="116" ht="33" hidden="1" customHeight="1"/>
    <row r="117" spans="13:13">
      <c r="M117" s="275" t="s">
        <v>171</v>
      </c>
    </row>
    <row r="119" ht="14.4" customHeight="1"/>
    <row r="122" ht="14.4" customHeight="1"/>
  </sheetData>
  <mergeCells count="31">
    <mergeCell ref="C1:F1"/>
    <mergeCell ref="I1:K1"/>
    <mergeCell ref="I70:L70"/>
    <mergeCell ref="I71:L71"/>
    <mergeCell ref="I72:L72"/>
    <mergeCell ref="I73:L73"/>
    <mergeCell ref="I74:L74"/>
    <mergeCell ref="I75:L75"/>
    <mergeCell ref="I76:L76"/>
    <mergeCell ref="I77:L77"/>
    <mergeCell ref="I78:L78"/>
    <mergeCell ref="I79:L79"/>
    <mergeCell ref="I80:L80"/>
    <mergeCell ref="I81:L81"/>
    <mergeCell ref="I82:L82"/>
    <mergeCell ref="I83:L83"/>
    <mergeCell ref="I84:L84"/>
    <mergeCell ref="I85:L85"/>
    <mergeCell ref="I86:L86"/>
    <mergeCell ref="I87:L87"/>
    <mergeCell ref="I88:L88"/>
    <mergeCell ref="I89:L89"/>
    <mergeCell ref="I90:L90"/>
    <mergeCell ref="I91:L91"/>
    <mergeCell ref="I92:L92"/>
    <mergeCell ref="I93:L93"/>
    <mergeCell ref="I94:L94"/>
    <mergeCell ref="I95:L95"/>
    <mergeCell ref="A1:A2"/>
    <mergeCell ref="B1:B2"/>
    <mergeCell ref="L1:L2"/>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23"/>
  <sheetViews>
    <sheetView topLeftCell="A22" workbookViewId="0">
      <selection activeCell="A61" sqref="A61:G61"/>
    </sheetView>
  </sheetViews>
  <sheetFormatPr defaultColWidth="8.89166666666667" defaultRowHeight="14"/>
  <cols>
    <col min="1" max="1" width="9.55833333333333" style="354" customWidth="1"/>
    <col min="2" max="2" width="22.6666666666667" style="354" customWidth="1"/>
    <col min="3" max="3" width="9.55833333333333" style="354" customWidth="1"/>
    <col min="4" max="4" width="11.6666666666667" style="354" customWidth="1"/>
    <col min="5" max="5" width="14.775" style="354" customWidth="1"/>
    <col min="6" max="6" width="13.3333333333333" style="354" customWidth="1"/>
    <col min="7" max="7" width="16.225" style="355" customWidth="1"/>
    <col min="8" max="8" width="16.1083333333333" style="355" customWidth="1"/>
    <col min="9" max="9" width="8.89166666666667" style="354" customWidth="1"/>
    <col min="10" max="13" width="8.89166666666667" style="354"/>
    <col min="14" max="14" width="7" style="354" customWidth="1"/>
    <col min="15" max="16384" width="8.89166666666667" style="354"/>
  </cols>
  <sheetData>
    <row r="1" ht="16.5" spans="1:3">
      <c r="A1" s="356" t="s">
        <v>0</v>
      </c>
      <c r="B1" s="356" t="s">
        <v>172</v>
      </c>
      <c r="C1" s="357" t="s">
        <v>173</v>
      </c>
    </row>
    <row r="2" spans="1:7">
      <c r="A2" s="358">
        <v>1</v>
      </c>
      <c r="B2" s="358" t="s">
        <v>22</v>
      </c>
      <c r="C2" s="359">
        <f>总投资估算!G3</f>
        <v>17385.78</v>
      </c>
      <c r="E2" s="360" t="s">
        <v>19</v>
      </c>
      <c r="G2" s="361" t="s">
        <v>78</v>
      </c>
    </row>
    <row r="3" spans="1:8">
      <c r="A3" s="358">
        <v>2</v>
      </c>
      <c r="B3" s="358" t="s">
        <v>19</v>
      </c>
      <c r="C3" s="359"/>
      <c r="E3" s="362">
        <v>7000</v>
      </c>
      <c r="F3" s="363" t="s">
        <v>174</v>
      </c>
      <c r="G3" s="364">
        <f>项目技术经济指标!D3/10000</f>
        <v>0</v>
      </c>
      <c r="H3" s="365" t="s">
        <v>174</v>
      </c>
    </row>
    <row r="4" spans="1:3">
      <c r="A4" s="358">
        <v>3</v>
      </c>
      <c r="B4" s="358" t="s">
        <v>112</v>
      </c>
      <c r="C4" s="359">
        <f>总投资估算!E3</f>
        <v>0</v>
      </c>
    </row>
    <row r="5" spans="1:2">
      <c r="A5" s="366"/>
      <c r="B5" s="366"/>
    </row>
    <row r="6" spans="1:2">
      <c r="A6" s="366"/>
      <c r="B6" s="366"/>
    </row>
    <row r="7" spans="1:2">
      <c r="A7" s="356" t="s">
        <v>175</v>
      </c>
      <c r="B7" s="367" t="s">
        <v>176</v>
      </c>
    </row>
    <row r="8" spans="1:2">
      <c r="A8" s="368"/>
      <c r="B8" s="368"/>
    </row>
    <row r="9" spans="5:8">
      <c r="E9" s="369" t="s">
        <v>177</v>
      </c>
      <c r="F9" s="369"/>
      <c r="G9" s="370" t="s">
        <v>178</v>
      </c>
      <c r="H9" s="370"/>
    </row>
    <row r="10" spans="1:12">
      <c r="A10" s="371" t="s">
        <v>0</v>
      </c>
      <c r="B10" s="371" t="s">
        <v>179</v>
      </c>
      <c r="C10" s="371" t="s">
        <v>180</v>
      </c>
      <c r="D10" s="371" t="s">
        <v>181</v>
      </c>
      <c r="E10" s="371" t="s">
        <v>182</v>
      </c>
      <c r="F10" s="371" t="s">
        <v>183</v>
      </c>
      <c r="G10" s="371" t="s">
        <v>184</v>
      </c>
      <c r="H10" s="371"/>
      <c r="I10" s="414" t="s">
        <v>176</v>
      </c>
      <c r="J10" s="414"/>
      <c r="K10" s="414" t="s">
        <v>185</v>
      </c>
      <c r="L10" s="414"/>
    </row>
    <row r="11" spans="1:12">
      <c r="A11" s="371"/>
      <c r="B11" s="371"/>
      <c r="C11" s="371"/>
      <c r="D11" s="371"/>
      <c r="E11" s="371"/>
      <c r="F11" s="371"/>
      <c r="G11" s="372" t="s">
        <v>186</v>
      </c>
      <c r="H11" s="372" t="s">
        <v>187</v>
      </c>
      <c r="I11" s="414" t="s">
        <v>186</v>
      </c>
      <c r="J11" s="414" t="s">
        <v>187</v>
      </c>
      <c r="K11" s="414" t="s">
        <v>186</v>
      </c>
      <c r="L11" s="414" t="s">
        <v>187</v>
      </c>
    </row>
    <row r="12" spans="1:12">
      <c r="A12" s="358">
        <v>1</v>
      </c>
      <c r="B12" s="358" t="str">
        <f>工程建设其他费细则说明!B4</f>
        <v>建设单位管理费</v>
      </c>
      <c r="C12" s="373">
        <f>H112</f>
        <v>213.8578</v>
      </c>
      <c r="D12" s="373">
        <f ca="1">SUMIF(G$10:L$10,B$7,H12)</f>
        <v>0.8</v>
      </c>
      <c r="E12" s="373">
        <f ca="1">C12*D12</f>
        <v>171.08624</v>
      </c>
      <c r="F12" s="358" t="s">
        <v>22</v>
      </c>
      <c r="G12" s="358"/>
      <c r="H12" s="358">
        <v>0.3</v>
      </c>
      <c r="I12" s="415"/>
      <c r="J12" s="415">
        <v>0.8</v>
      </c>
      <c r="K12" s="415"/>
      <c r="L12" s="415">
        <v>0.7</v>
      </c>
    </row>
    <row r="13" spans="1:12">
      <c r="A13" s="358">
        <v>2</v>
      </c>
      <c r="B13" s="358" t="str">
        <f>工程建设其他费细则说明!B18</f>
        <v>场地准备及临时设施费</v>
      </c>
      <c r="C13" s="373">
        <f>C2*1%</f>
        <v>173.8578</v>
      </c>
      <c r="D13" s="373">
        <f ca="1" t="shared" ref="D13:D28" si="0">SUMIF(G$10:L$10,B$7,H13)</f>
        <v>0.6</v>
      </c>
      <c r="E13" s="373">
        <f ca="1">C13*D13</f>
        <v>104.31468</v>
      </c>
      <c r="F13" s="358" t="s">
        <v>22</v>
      </c>
      <c r="G13" s="358"/>
      <c r="H13" s="358">
        <v>0.6</v>
      </c>
      <c r="I13" s="415"/>
      <c r="J13" s="415">
        <v>0.6</v>
      </c>
      <c r="K13" s="415"/>
      <c r="L13" s="415">
        <v>0.6</v>
      </c>
    </row>
    <row r="14" spans="1:12">
      <c r="A14" s="358">
        <v>3</v>
      </c>
      <c r="B14" s="358" t="str">
        <f>工程建设其他费细则说明!B21</f>
        <v>前期工作咨询费</v>
      </c>
      <c r="C14" s="374">
        <f>G34</f>
        <v>21.1418774110587</v>
      </c>
      <c r="D14" s="373">
        <f ca="1" t="shared" si="0"/>
        <v>0.5</v>
      </c>
      <c r="E14" s="373">
        <f ca="1" t="shared" ref="E14:E21" si="1">C14*D14</f>
        <v>10.5709387055294</v>
      </c>
      <c r="F14" s="358" t="s">
        <v>19</v>
      </c>
      <c r="G14" s="358"/>
      <c r="H14" s="358">
        <v>0.5</v>
      </c>
      <c r="I14" s="415"/>
      <c r="J14" s="415">
        <v>0.5</v>
      </c>
      <c r="K14" s="415"/>
      <c r="L14" s="415">
        <v>0.6</v>
      </c>
    </row>
    <row r="15" spans="1:12">
      <c r="A15" s="358">
        <v>4</v>
      </c>
      <c r="B15" s="358" t="str">
        <f>工程建设其他费细则说明!B36</f>
        <v>勘察费</v>
      </c>
      <c r="C15" s="358">
        <f>C2*1%</f>
        <v>173.8578</v>
      </c>
      <c r="D15" s="373">
        <f ca="1" t="shared" si="0"/>
        <v>0.4</v>
      </c>
      <c r="E15" s="373">
        <f ca="1" t="shared" si="1"/>
        <v>69.54312</v>
      </c>
      <c r="F15" s="358" t="s">
        <v>22</v>
      </c>
      <c r="G15" s="358"/>
      <c r="H15" s="358">
        <v>0.8</v>
      </c>
      <c r="I15" s="415"/>
      <c r="J15" s="415">
        <v>0.4</v>
      </c>
      <c r="K15" s="415"/>
      <c r="L15" s="415">
        <v>0.85</v>
      </c>
    </row>
    <row r="16" spans="1:12">
      <c r="A16" s="358">
        <v>5</v>
      </c>
      <c r="B16" s="358" t="str">
        <f>工程建设其他费细则说明!B37</f>
        <v>设计费</v>
      </c>
      <c r="C16" s="373">
        <f>E123</f>
        <v>498.307436</v>
      </c>
      <c r="D16" s="373">
        <f ca="1" t="shared" si="0"/>
        <v>0.4</v>
      </c>
      <c r="E16" s="373">
        <f ca="1" t="shared" si="1"/>
        <v>199.3229744</v>
      </c>
      <c r="F16" s="358" t="s">
        <v>22</v>
      </c>
      <c r="G16" s="358"/>
      <c r="H16" s="358">
        <v>0.9</v>
      </c>
      <c r="I16" s="415"/>
      <c r="J16" s="415">
        <v>0.4</v>
      </c>
      <c r="K16" s="415"/>
      <c r="L16" s="415">
        <v>0.85</v>
      </c>
    </row>
    <row r="17" spans="1:12">
      <c r="A17" s="358">
        <v>6</v>
      </c>
      <c r="B17" s="358" t="str">
        <f>工程建设其他费细则说明!B38</f>
        <v>工程监理费</v>
      </c>
      <c r="C17" s="373">
        <f>E147</f>
        <v>347.7034344</v>
      </c>
      <c r="D17" s="373">
        <f ca="1" t="shared" si="0"/>
        <v>0.7</v>
      </c>
      <c r="E17" s="373">
        <f ca="1" t="shared" si="1"/>
        <v>243.39240408</v>
      </c>
      <c r="F17" s="358" t="s">
        <v>22</v>
      </c>
      <c r="G17" s="358"/>
      <c r="H17" s="358">
        <v>0.5</v>
      </c>
      <c r="I17" s="415"/>
      <c r="J17" s="415">
        <v>0.7</v>
      </c>
      <c r="K17" s="415"/>
      <c r="L17" s="415">
        <v>0.7</v>
      </c>
    </row>
    <row r="18" spans="1:12">
      <c r="A18" s="358">
        <v>7</v>
      </c>
      <c r="B18" s="358" t="str">
        <f>工程建设其他费细则说明!B42</f>
        <v>招标代理费</v>
      </c>
      <c r="C18" s="374">
        <f>S57</f>
        <v>44.5018393632</v>
      </c>
      <c r="D18" s="373">
        <f ca="1" t="shared" si="0"/>
        <v>0.49</v>
      </c>
      <c r="E18" s="373">
        <f ca="1" t="shared" si="1"/>
        <v>21.805901287968</v>
      </c>
      <c r="F18" s="358" t="s">
        <v>188</v>
      </c>
      <c r="G18" s="358"/>
      <c r="H18" s="358">
        <v>0.3</v>
      </c>
      <c r="I18" s="415"/>
      <c r="J18" s="415">
        <v>0.49</v>
      </c>
      <c r="K18" s="415"/>
      <c r="L18" s="415">
        <v>0.8</v>
      </c>
    </row>
    <row r="19" spans="1:12">
      <c r="A19" s="358">
        <v>8</v>
      </c>
      <c r="B19" s="358" t="str">
        <f>工程建设其他费细则说明!B43</f>
        <v>施工图审查费</v>
      </c>
      <c r="C19" s="373">
        <f>H181</f>
        <v>18.98578</v>
      </c>
      <c r="D19" s="373">
        <f ca="1" t="shared" si="0"/>
        <v>0.7</v>
      </c>
      <c r="E19" s="373">
        <f ca="1" t="shared" si="1"/>
        <v>13.290046</v>
      </c>
      <c r="F19" s="358" t="s">
        <v>22</v>
      </c>
      <c r="G19" s="358"/>
      <c r="H19" s="358">
        <v>0.4</v>
      </c>
      <c r="I19" s="415"/>
      <c r="J19" s="415">
        <v>0.7</v>
      </c>
      <c r="K19" s="415"/>
      <c r="L19" s="415">
        <v>0.6</v>
      </c>
    </row>
    <row r="20" spans="1:12">
      <c r="A20" s="358">
        <v>9</v>
      </c>
      <c r="B20" s="358" t="str">
        <f>工程建设其他费细则说明!B45</f>
        <v>工程造价咨询费</v>
      </c>
      <c r="C20" s="373">
        <f>H169</f>
        <v>127.166148</v>
      </c>
      <c r="D20" s="373">
        <f ca="1" t="shared" si="0"/>
        <v>0.5</v>
      </c>
      <c r="E20" s="373">
        <f ca="1" t="shared" si="1"/>
        <v>63.583074</v>
      </c>
      <c r="F20" s="358" t="s">
        <v>22</v>
      </c>
      <c r="G20" s="358"/>
      <c r="H20" s="358">
        <v>0.7</v>
      </c>
      <c r="I20" s="415"/>
      <c r="J20" s="415">
        <v>0.5</v>
      </c>
      <c r="K20" s="415"/>
      <c r="L20" s="415">
        <v>0.7</v>
      </c>
    </row>
    <row r="21" spans="1:12">
      <c r="A21" s="358">
        <v>10</v>
      </c>
      <c r="B21" s="358" t="str">
        <f>工程建设其他费细则说明!B46</f>
        <v>工程保险费</v>
      </c>
      <c r="C21" s="358">
        <f>C2*0.5%</f>
        <v>86.9289</v>
      </c>
      <c r="D21" s="373">
        <f ca="1" t="shared" si="0"/>
        <v>0.7</v>
      </c>
      <c r="E21" s="373">
        <f ca="1" t="shared" si="1"/>
        <v>60.85023</v>
      </c>
      <c r="F21" s="358" t="s">
        <v>22</v>
      </c>
      <c r="G21" s="358"/>
      <c r="H21" s="358">
        <v>0.6</v>
      </c>
      <c r="I21" s="415"/>
      <c r="J21" s="415">
        <v>0.7</v>
      </c>
      <c r="K21" s="415"/>
      <c r="L21" s="415">
        <v>0.7</v>
      </c>
    </row>
    <row r="22" spans="1:12">
      <c r="A22" s="358">
        <v>11</v>
      </c>
      <c r="B22" s="358" t="str">
        <f>工程建设其他费细则说明!B23</f>
        <v>环境影响评价费</v>
      </c>
      <c r="C22" s="374">
        <f>G64</f>
        <v>5.23529411764706</v>
      </c>
      <c r="D22" s="373">
        <f ca="1" t="shared" si="0"/>
        <v>0.7</v>
      </c>
      <c r="E22" s="373">
        <f ca="1" t="shared" ref="E22:E28" si="2">C22*D22</f>
        <v>3.66470588235294</v>
      </c>
      <c r="F22" s="358" t="s">
        <v>19</v>
      </c>
      <c r="G22" s="358"/>
      <c r="H22" s="358">
        <v>0.7</v>
      </c>
      <c r="I22" s="385"/>
      <c r="J22" s="415">
        <v>0.7</v>
      </c>
      <c r="K22" s="385"/>
      <c r="L22" s="415">
        <v>0.7</v>
      </c>
    </row>
    <row r="23" spans="1:12">
      <c r="A23" s="358">
        <v>12</v>
      </c>
      <c r="B23" s="358" t="str">
        <f>工程建设其他费细则说明!B29</f>
        <v>节能评估费</v>
      </c>
      <c r="C23" s="358">
        <f>H218</f>
        <v>7.2925115</v>
      </c>
      <c r="D23" s="373">
        <f ca="1" t="shared" si="0"/>
        <v>0.7</v>
      </c>
      <c r="E23" s="373">
        <f ca="1" t="shared" si="2"/>
        <v>5.10475805</v>
      </c>
      <c r="F23" s="358" t="s">
        <v>22</v>
      </c>
      <c r="G23" s="358"/>
      <c r="H23" s="358">
        <v>0.7</v>
      </c>
      <c r="I23" s="385"/>
      <c r="J23" s="415">
        <v>0.7</v>
      </c>
      <c r="K23" s="385"/>
      <c r="L23" s="415">
        <v>0.7</v>
      </c>
    </row>
    <row r="24" spans="1:12">
      <c r="A24" s="358">
        <v>13</v>
      </c>
      <c r="B24" s="358" t="str">
        <f>工程建设其他费细则说明!B27</f>
        <v>水土保持评价费</v>
      </c>
      <c r="C24" s="358">
        <f>G190</f>
        <v>66.77156</v>
      </c>
      <c r="D24" s="373">
        <f ca="1" t="shared" si="0"/>
        <v>0.7</v>
      </c>
      <c r="E24" s="373">
        <f ca="1" t="shared" si="2"/>
        <v>46.740092</v>
      </c>
      <c r="F24" s="358" t="s">
        <v>22</v>
      </c>
      <c r="G24" s="358"/>
      <c r="H24" s="358">
        <v>0.7</v>
      </c>
      <c r="I24" s="385"/>
      <c r="J24" s="415">
        <v>0.7</v>
      </c>
      <c r="K24" s="385"/>
      <c r="L24" s="415">
        <v>0.7</v>
      </c>
    </row>
    <row r="25" spans="1:12">
      <c r="A25" s="358">
        <v>14</v>
      </c>
      <c r="B25" s="358" t="str">
        <f>工程建设其他费细则说明!B32</f>
        <v>劳动安全卫生评审费</v>
      </c>
      <c r="C25" s="358">
        <f>C2*0.5%</f>
        <v>86.9289</v>
      </c>
      <c r="D25" s="373">
        <f ca="1" t="shared" si="0"/>
        <v>0.7</v>
      </c>
      <c r="E25" s="373">
        <f ca="1" t="shared" si="2"/>
        <v>60.85023</v>
      </c>
      <c r="F25" s="358" t="s">
        <v>22</v>
      </c>
      <c r="G25" s="358"/>
      <c r="H25" s="358">
        <v>0.7</v>
      </c>
      <c r="I25" s="385"/>
      <c r="J25" s="415">
        <v>0.7</v>
      </c>
      <c r="K25" s="385"/>
      <c r="L25" s="415">
        <v>0.7</v>
      </c>
    </row>
    <row r="26" spans="1:12">
      <c r="A26" s="358">
        <v>15</v>
      </c>
      <c r="B26" s="358" t="str">
        <f>工程建设其他费细则说明!B31</f>
        <v>社会稳定风险评估费</v>
      </c>
      <c r="C26" s="374">
        <f>I75</f>
        <v>5.65714285714286</v>
      </c>
      <c r="D26" s="373">
        <f ca="1" t="shared" si="0"/>
        <v>0.7</v>
      </c>
      <c r="E26" s="373">
        <f ca="1" t="shared" si="2"/>
        <v>3.96</v>
      </c>
      <c r="F26" s="358" t="s">
        <v>19</v>
      </c>
      <c r="G26" s="358"/>
      <c r="H26" s="358">
        <v>0.7</v>
      </c>
      <c r="I26" s="385"/>
      <c r="J26" s="415">
        <v>0.7</v>
      </c>
      <c r="K26" s="385"/>
      <c r="L26" s="415">
        <v>0.7</v>
      </c>
    </row>
    <row r="27" spans="1:12">
      <c r="A27" s="358">
        <v>16</v>
      </c>
      <c r="B27" s="358" t="str">
        <f>工程建设其他费细则说明!B24</f>
        <v>安全预评价费</v>
      </c>
      <c r="C27" s="374">
        <f>G87</f>
        <v>7.2</v>
      </c>
      <c r="D27" s="373">
        <f ca="1" t="shared" si="0"/>
        <v>0.7</v>
      </c>
      <c r="E27" s="373">
        <f ca="1" t="shared" si="2"/>
        <v>5.04</v>
      </c>
      <c r="F27" s="358" t="s">
        <v>19</v>
      </c>
      <c r="G27" s="358"/>
      <c r="H27" s="358">
        <v>0.7</v>
      </c>
      <c r="I27" s="385"/>
      <c r="J27" s="415">
        <v>0.7</v>
      </c>
      <c r="K27" s="385"/>
      <c r="L27" s="415">
        <v>0.7</v>
      </c>
    </row>
    <row r="28" spans="1:12">
      <c r="A28" s="358">
        <v>17</v>
      </c>
      <c r="B28" s="358" t="str">
        <f>工程建设其他费细则说明!B33</f>
        <v>交通影响评估费</v>
      </c>
      <c r="C28" s="374">
        <v>0</v>
      </c>
      <c r="D28" s="373">
        <f ca="1" t="shared" si="0"/>
        <v>0.7</v>
      </c>
      <c r="E28" s="373">
        <f ca="1" t="shared" si="2"/>
        <v>0</v>
      </c>
      <c r="F28" s="358" t="s">
        <v>78</v>
      </c>
      <c r="G28" s="358"/>
      <c r="H28" s="358">
        <v>0.7</v>
      </c>
      <c r="I28" s="385"/>
      <c r="J28" s="415">
        <v>0.7</v>
      </c>
      <c r="K28" s="385"/>
      <c r="L28" s="415">
        <v>0.7</v>
      </c>
    </row>
    <row r="29" spans="1:12">
      <c r="A29" s="358" t="s">
        <v>189</v>
      </c>
      <c r="B29" s="358"/>
      <c r="C29" s="373">
        <f>SUM(C12:C28)</f>
        <v>1885.39422364905</v>
      </c>
      <c r="D29" s="373"/>
      <c r="E29" s="373"/>
      <c r="F29" s="358"/>
      <c r="G29" s="358"/>
      <c r="H29" s="358"/>
      <c r="I29" s="385"/>
      <c r="J29" s="415"/>
      <c r="K29" s="385"/>
      <c r="L29" s="415"/>
    </row>
    <row r="31" spans="7:8">
      <c r="G31" s="354"/>
      <c r="H31" s="354"/>
    </row>
    <row r="32" spans="1:23">
      <c r="A32" s="375" t="s">
        <v>190</v>
      </c>
      <c r="B32" s="375"/>
      <c r="C32" s="375"/>
      <c r="D32" s="375"/>
      <c r="E32" s="375"/>
      <c r="F32" s="375"/>
      <c r="G32" s="375"/>
      <c r="H32" s="354"/>
      <c r="I32" s="416"/>
      <c r="J32" s="416"/>
      <c r="K32" s="416"/>
      <c r="L32" s="416"/>
      <c r="M32" s="416"/>
      <c r="N32" s="416"/>
      <c r="O32" s="416"/>
      <c r="P32" s="416"/>
      <c r="Q32" s="416"/>
      <c r="R32" s="416"/>
      <c r="S32" s="416"/>
      <c r="T32" s="416"/>
      <c r="U32" s="416"/>
      <c r="V32" s="420"/>
      <c r="W32" s="420"/>
    </row>
    <row r="33" ht="27" customHeight="1" spans="1:23">
      <c r="A33" s="371" t="s">
        <v>0</v>
      </c>
      <c r="B33" s="371" t="s">
        <v>191</v>
      </c>
      <c r="C33" s="371"/>
      <c r="D33" s="371"/>
      <c r="E33" s="376" t="s">
        <v>192</v>
      </c>
      <c r="F33" s="377" t="s">
        <v>193</v>
      </c>
      <c r="G33" s="377" t="s">
        <v>194</v>
      </c>
      <c r="H33" s="378"/>
      <c r="I33" s="417"/>
      <c r="J33" s="417"/>
      <c r="K33" s="417"/>
      <c r="L33" s="416"/>
      <c r="M33" s="416"/>
      <c r="N33" s="416"/>
      <c r="O33" s="416"/>
      <c r="P33" s="418"/>
      <c r="Q33" s="416"/>
      <c r="R33" s="418"/>
      <c r="S33" s="416"/>
      <c r="T33" s="416"/>
      <c r="U33" s="416"/>
      <c r="V33" s="420"/>
      <c r="W33" s="420"/>
    </row>
    <row r="34" spans="1:23">
      <c r="A34" s="371"/>
      <c r="B34" s="371"/>
      <c r="C34" s="371"/>
      <c r="D34" s="371"/>
      <c r="E34" s="379"/>
      <c r="F34" s="380">
        <f>E3</f>
        <v>7000</v>
      </c>
      <c r="G34" s="381">
        <f>SUM(G35:G41)</f>
        <v>21.1418774110587</v>
      </c>
      <c r="H34" s="382"/>
      <c r="I34" s="419"/>
      <c r="J34" s="420"/>
      <c r="K34" s="420"/>
      <c r="L34" s="421"/>
      <c r="M34" s="422"/>
      <c r="N34" s="421"/>
      <c r="O34" s="422"/>
      <c r="P34" s="421"/>
      <c r="Q34" s="422"/>
      <c r="R34" s="421"/>
      <c r="S34" s="422"/>
      <c r="T34" s="421"/>
      <c r="U34" s="422"/>
      <c r="V34" s="420"/>
      <c r="W34" s="420"/>
    </row>
    <row r="35" spans="1:23">
      <c r="A35" s="358">
        <v>1</v>
      </c>
      <c r="B35" s="358"/>
      <c r="C35" s="358" t="s">
        <v>195</v>
      </c>
      <c r="D35" s="358">
        <v>1000</v>
      </c>
      <c r="E35" s="358">
        <v>3</v>
      </c>
      <c r="F35" s="383">
        <f>IF(F34&lt;=D35,1,0)</f>
        <v>0</v>
      </c>
      <c r="G35" s="373">
        <f>IF($F35=1,(E35/D35*$F34),0)</f>
        <v>0</v>
      </c>
      <c r="H35" s="366"/>
      <c r="I35" s="419"/>
      <c r="J35" s="420"/>
      <c r="K35" s="420"/>
      <c r="L35" s="421"/>
      <c r="M35" s="422"/>
      <c r="N35" s="421"/>
      <c r="O35" s="422"/>
      <c r="P35" s="421"/>
      <c r="Q35" s="422"/>
      <c r="R35" s="421"/>
      <c r="S35" s="422"/>
      <c r="T35" s="421"/>
      <c r="U35" s="422"/>
      <c r="V35" s="420"/>
      <c r="W35" s="420"/>
    </row>
    <row r="36" spans="1:23">
      <c r="A36" s="358">
        <v>2</v>
      </c>
      <c r="B36" s="358">
        <v>1001</v>
      </c>
      <c r="C36" s="358" t="s">
        <v>196</v>
      </c>
      <c r="D36" s="358">
        <v>3000</v>
      </c>
      <c r="E36" s="358">
        <v>6</v>
      </c>
      <c r="F36" s="383">
        <f>IF(AND($F$34&lt;=D36,$F$34&gt;B36),1,0)</f>
        <v>0</v>
      </c>
      <c r="G36" s="373">
        <f>IF($F36=1,(E36+((E37-E36)/(D36-B36)*($F$34-B36))),0)</f>
        <v>0</v>
      </c>
      <c r="H36" s="366"/>
      <c r="I36" s="419"/>
      <c r="J36" s="420"/>
      <c r="K36" s="420"/>
      <c r="L36" s="421"/>
      <c r="M36" s="422"/>
      <c r="N36" s="421"/>
      <c r="O36" s="422"/>
      <c r="P36" s="421"/>
      <c r="Q36" s="422"/>
      <c r="R36" s="421"/>
      <c r="S36" s="422"/>
      <c r="T36" s="421"/>
      <c r="U36" s="422"/>
      <c r="V36" s="420"/>
      <c r="W36" s="420"/>
    </row>
    <row r="37" spans="1:23">
      <c r="A37" s="358">
        <v>3</v>
      </c>
      <c r="B37" s="358">
        <v>3001</v>
      </c>
      <c r="C37" s="358" t="s">
        <v>196</v>
      </c>
      <c r="D37" s="358">
        <v>10000</v>
      </c>
      <c r="E37" s="358">
        <v>12</v>
      </c>
      <c r="F37" s="383">
        <f t="shared" ref="F37:F40" si="3">IF(AND($F$34&lt;=D37,$F$34&gt;B37),1,0)</f>
        <v>1</v>
      </c>
      <c r="G37" s="373">
        <f>IF($F37=1,(E37+((E38-E37)/(D37-B37)*($F$34-B37))),0)</f>
        <v>21.1418774110587</v>
      </c>
      <c r="H37" s="366"/>
      <c r="I37" s="419"/>
      <c r="J37" s="420"/>
      <c r="K37" s="420"/>
      <c r="L37" s="421"/>
      <c r="M37" s="422"/>
      <c r="N37" s="421"/>
      <c r="O37" s="422"/>
      <c r="P37" s="421"/>
      <c r="Q37" s="422"/>
      <c r="R37" s="421"/>
      <c r="S37" s="422"/>
      <c r="T37" s="421"/>
      <c r="U37" s="422"/>
      <c r="V37" s="420"/>
      <c r="W37" s="420"/>
    </row>
    <row r="38" spans="1:23">
      <c r="A38" s="358">
        <v>4</v>
      </c>
      <c r="B38" s="358">
        <v>10001</v>
      </c>
      <c r="C38" s="358" t="s">
        <v>196</v>
      </c>
      <c r="D38" s="358">
        <v>50000</v>
      </c>
      <c r="E38" s="358">
        <v>28</v>
      </c>
      <c r="F38" s="383">
        <f t="shared" si="3"/>
        <v>0</v>
      </c>
      <c r="G38" s="373">
        <f t="shared" ref="G38:G40" si="4">IF($F38=1,(E38+((E39-E38)/(D38-B38)*($F$34-B38))),0)</f>
        <v>0</v>
      </c>
      <c r="H38" s="366"/>
      <c r="I38" s="419"/>
      <c r="J38" s="420"/>
      <c r="K38" s="420"/>
      <c r="L38" s="421"/>
      <c r="M38" s="422"/>
      <c r="N38" s="421"/>
      <c r="O38" s="422"/>
      <c r="P38" s="421"/>
      <c r="Q38" s="422"/>
      <c r="R38" s="421"/>
      <c r="S38" s="422"/>
      <c r="T38" s="421"/>
      <c r="U38" s="422"/>
      <c r="V38" s="420"/>
      <c r="W38" s="420"/>
    </row>
    <row r="39" spans="1:23">
      <c r="A39" s="358">
        <v>5</v>
      </c>
      <c r="B39" s="358">
        <v>50001</v>
      </c>
      <c r="C39" s="358" t="s">
        <v>196</v>
      </c>
      <c r="D39" s="358">
        <v>100000</v>
      </c>
      <c r="E39" s="358">
        <v>75</v>
      </c>
      <c r="F39" s="383">
        <f t="shared" si="3"/>
        <v>0</v>
      </c>
      <c r="G39" s="373">
        <f t="shared" si="4"/>
        <v>0</v>
      </c>
      <c r="H39" s="366"/>
      <c r="I39" s="419"/>
      <c r="J39" s="420"/>
      <c r="K39" s="420"/>
      <c r="L39" s="421"/>
      <c r="M39" s="422"/>
      <c r="N39" s="421"/>
      <c r="O39" s="422"/>
      <c r="P39" s="421"/>
      <c r="Q39" s="422"/>
      <c r="R39" s="421"/>
      <c r="S39" s="422"/>
      <c r="T39" s="421"/>
      <c r="U39" s="422"/>
      <c r="V39" s="417"/>
      <c r="W39" s="417"/>
    </row>
    <row r="40" spans="1:23">
      <c r="A40" s="358">
        <v>6</v>
      </c>
      <c r="B40" s="358">
        <v>100000</v>
      </c>
      <c r="C40" s="358" t="s">
        <v>196</v>
      </c>
      <c r="D40" s="358">
        <v>500000</v>
      </c>
      <c r="E40" s="358">
        <v>110</v>
      </c>
      <c r="F40" s="383">
        <f t="shared" si="3"/>
        <v>0</v>
      </c>
      <c r="G40" s="373">
        <f t="shared" si="4"/>
        <v>0</v>
      </c>
      <c r="H40" s="366"/>
      <c r="I40" s="420"/>
      <c r="J40" s="420"/>
      <c r="K40" s="420"/>
      <c r="L40" s="423"/>
      <c r="M40" s="423"/>
      <c r="N40" s="423"/>
      <c r="O40" s="423"/>
      <c r="P40" s="423"/>
      <c r="Q40" s="423"/>
      <c r="R40" s="423"/>
      <c r="S40" s="423"/>
      <c r="T40" s="423"/>
      <c r="U40" s="423"/>
      <c r="V40" s="423"/>
      <c r="W40" s="423"/>
    </row>
    <row r="41" spans="1:23">
      <c r="A41" s="358">
        <v>7</v>
      </c>
      <c r="B41" s="384">
        <v>500000</v>
      </c>
      <c r="C41" s="358"/>
      <c r="D41" s="385"/>
      <c r="E41" s="358">
        <v>200</v>
      </c>
      <c r="F41" s="383">
        <f>IF(AND($F$34&gt;B41),1,0)</f>
        <v>0</v>
      </c>
      <c r="G41" s="373">
        <f>IF($F41=1,MIN(250,F34*E41/B41),0)</f>
        <v>0</v>
      </c>
      <c r="H41" s="366"/>
      <c r="I41" s="419"/>
      <c r="J41" s="420"/>
      <c r="K41" s="420"/>
      <c r="L41" s="417"/>
      <c r="M41" s="417"/>
      <c r="N41" s="417"/>
      <c r="O41" s="417"/>
      <c r="P41" s="417"/>
      <c r="Q41" s="417"/>
      <c r="R41" s="417"/>
      <c r="S41" s="417"/>
      <c r="T41" s="417"/>
      <c r="U41" s="417"/>
      <c r="V41" s="420"/>
      <c r="W41" s="420"/>
    </row>
    <row r="42" spans="1:23">
      <c r="A42" s="386"/>
      <c r="B42" s="386"/>
      <c r="C42" s="386"/>
      <c r="D42" s="386"/>
      <c r="E42" s="382"/>
      <c r="F42" s="386"/>
      <c r="G42" s="366"/>
      <c r="I42" s="419"/>
      <c r="J42" s="420"/>
      <c r="K42" s="420"/>
      <c r="L42" s="417"/>
      <c r="M42" s="417"/>
      <c r="N42" s="417"/>
      <c r="O42" s="417"/>
      <c r="P42" s="417"/>
      <c r="Q42" s="417"/>
      <c r="R42" s="417"/>
      <c r="S42" s="417"/>
      <c r="T42" s="417"/>
      <c r="U42" s="417"/>
      <c r="V42" s="420"/>
      <c r="W42" s="420"/>
    </row>
    <row r="43" spans="1:7">
      <c r="A43" s="366"/>
      <c r="B43" s="366"/>
      <c r="C43" s="366"/>
      <c r="D43" s="366"/>
      <c r="E43" s="387"/>
      <c r="F43" s="388"/>
      <c r="G43" s="389"/>
    </row>
    <row r="44" spans="1:18">
      <c r="A44" s="390" t="s">
        <v>197</v>
      </c>
      <c r="B44" s="391"/>
      <c r="C44" s="391"/>
      <c r="D44" s="391"/>
      <c r="E44" s="391"/>
      <c r="F44" s="391"/>
      <c r="G44" s="391"/>
      <c r="H44" s="391"/>
      <c r="I44" s="391"/>
      <c r="J44" s="391"/>
      <c r="K44" s="391"/>
      <c r="L44" s="391"/>
      <c r="M44" s="391"/>
      <c r="N44" s="391"/>
      <c r="O44" s="391"/>
      <c r="P44" s="391"/>
      <c r="Q44" s="391"/>
      <c r="R44" s="405"/>
    </row>
    <row r="45" spans="1:18">
      <c r="A45" s="392" t="s">
        <v>191</v>
      </c>
      <c r="B45" s="393"/>
      <c r="C45" s="394"/>
      <c r="D45" s="371" t="s">
        <v>198</v>
      </c>
      <c r="E45" s="371"/>
      <c r="F45" s="371"/>
      <c r="G45" s="371" t="s">
        <v>199</v>
      </c>
      <c r="H45" s="371"/>
      <c r="I45" s="371"/>
      <c r="J45" s="371" t="s">
        <v>200</v>
      </c>
      <c r="K45" s="371"/>
      <c r="L45" s="371"/>
      <c r="M45" s="371" t="s">
        <v>201</v>
      </c>
      <c r="N45" s="371"/>
      <c r="O45" s="371"/>
      <c r="P45" s="371" t="s">
        <v>202</v>
      </c>
      <c r="Q45" s="371"/>
      <c r="R45" s="371"/>
    </row>
    <row r="46" spans="1:18">
      <c r="A46" s="395"/>
      <c r="B46" s="396"/>
      <c r="C46" s="397"/>
      <c r="D46" s="398">
        <f>C4</f>
        <v>0</v>
      </c>
      <c r="E46" s="398"/>
      <c r="F46" s="398"/>
      <c r="G46" s="398">
        <f>C15</f>
        <v>173.8578</v>
      </c>
      <c r="H46" s="398"/>
      <c r="I46" s="398"/>
      <c r="J46" s="424">
        <f>C16</f>
        <v>498.307436</v>
      </c>
      <c r="K46" s="398"/>
      <c r="L46" s="398"/>
      <c r="M46" s="424">
        <f>C17</f>
        <v>347.7034344</v>
      </c>
      <c r="N46" s="398"/>
      <c r="O46" s="398"/>
      <c r="P46" s="398">
        <f>C2-C4</f>
        <v>17385.78</v>
      </c>
      <c r="Q46" s="398"/>
      <c r="R46" s="398"/>
    </row>
    <row r="47" spans="1:18">
      <c r="A47" s="385"/>
      <c r="B47" s="358" t="s">
        <v>203</v>
      </c>
      <c r="C47" s="385">
        <v>100</v>
      </c>
      <c r="D47" s="385">
        <f>C47*E47</f>
        <v>1.5</v>
      </c>
      <c r="E47" s="399">
        <v>0.015</v>
      </c>
      <c r="F47" s="385">
        <f>IF(D46&lt;=C47,D46*E47,0)</f>
        <v>0</v>
      </c>
      <c r="G47" s="385">
        <f>C47*H47</f>
        <v>1.5</v>
      </c>
      <c r="H47" s="400">
        <v>0.015</v>
      </c>
      <c r="I47" s="385">
        <f>IF(H46&lt;=C47,H46*H47,0)</f>
        <v>0</v>
      </c>
      <c r="J47" s="385">
        <f>C47*K47</f>
        <v>1.5</v>
      </c>
      <c r="K47" s="400">
        <v>0.015</v>
      </c>
      <c r="L47" s="385">
        <f>IF(J46&lt;=C47,J46*K47,0)</f>
        <v>0</v>
      </c>
      <c r="M47" s="385">
        <f>C47*N47</f>
        <v>1.5</v>
      </c>
      <c r="N47" s="400">
        <v>0.015</v>
      </c>
      <c r="O47" s="385">
        <f>IF(M46&lt;=C47,M46*N47,0)</f>
        <v>0</v>
      </c>
      <c r="P47" s="385">
        <f>C47*Q47</f>
        <v>1</v>
      </c>
      <c r="Q47" s="400">
        <v>0.01</v>
      </c>
      <c r="R47" s="385">
        <f>IF(P46&lt;=C47,P46*Q47,0)</f>
        <v>0</v>
      </c>
    </row>
    <row r="48" spans="1:18">
      <c r="A48" s="385">
        <v>100</v>
      </c>
      <c r="B48" s="358" t="s">
        <v>196</v>
      </c>
      <c r="C48" s="385">
        <v>500</v>
      </c>
      <c r="D48" s="385">
        <f t="shared" ref="D48:D55" si="5">D47+(C48-A48)*E48</f>
        <v>5.9</v>
      </c>
      <c r="E48" s="399">
        <v>0.011</v>
      </c>
      <c r="F48" s="385">
        <f t="shared" ref="F48:F55" si="6">IF(AND($D$46&gt;A48,$D$458&lt;C48),(D47+($D$46-C47)*E48),0)</f>
        <v>0</v>
      </c>
      <c r="G48" s="385">
        <f t="shared" ref="G48:G55" si="7">G47+(C48-C47)*H48</f>
        <v>4.7</v>
      </c>
      <c r="H48" s="400">
        <v>0.008</v>
      </c>
      <c r="I48" s="385">
        <f t="shared" ref="I48:I55" si="8">IF(AND($G$46&gt;A48,$G$46&lt;C48),(G47+($G$46-C47)*H48),0)</f>
        <v>2.0908624</v>
      </c>
      <c r="J48" s="385">
        <f t="shared" ref="J48:J55" si="9">J47+(C48-A48)*K48</f>
        <v>4.7</v>
      </c>
      <c r="K48" s="400">
        <v>0.008</v>
      </c>
      <c r="L48" s="385">
        <f t="shared" ref="L48:L55" si="10">IF(AND($J$46&gt;A48,$J$46&lt;C48),(J47+($J$46-C47)*K48),0)</f>
        <v>4.686459488</v>
      </c>
      <c r="M48" s="385">
        <f t="shared" ref="M48:M55" si="11">M47+(C48-C47)*N48</f>
        <v>4.7</v>
      </c>
      <c r="N48" s="400">
        <v>0.008</v>
      </c>
      <c r="O48" s="385">
        <f>IF(AND($M$46&gt;A48,$M$46&lt;C48),(M47+($M$46-C47)*N48),0)</f>
        <v>3.4816274752</v>
      </c>
      <c r="P48" s="385">
        <f t="shared" ref="P48:P55" si="12">P47+(C48-C47)*Q48</f>
        <v>3.8</v>
      </c>
      <c r="Q48" s="400">
        <v>0.007</v>
      </c>
      <c r="R48" s="385">
        <f>IF(AND($P$46&gt;A48,$P$46&lt;C48),(P47+($P$46-C47)*Q48),0)</f>
        <v>0</v>
      </c>
    </row>
    <row r="49" spans="1:18">
      <c r="A49" s="385">
        <v>500</v>
      </c>
      <c r="B49" s="358" t="s">
        <v>196</v>
      </c>
      <c r="C49" s="385">
        <v>1000</v>
      </c>
      <c r="D49" s="385">
        <f t="shared" si="5"/>
        <v>9.9</v>
      </c>
      <c r="E49" s="399">
        <v>0.008</v>
      </c>
      <c r="F49" s="385">
        <f t="shared" si="6"/>
        <v>0</v>
      </c>
      <c r="G49" s="385">
        <f t="shared" si="7"/>
        <v>6.95</v>
      </c>
      <c r="H49" s="400">
        <v>0.0045</v>
      </c>
      <c r="I49" s="385">
        <f t="shared" si="8"/>
        <v>0</v>
      </c>
      <c r="J49" s="385">
        <f t="shared" si="9"/>
        <v>6.95</v>
      </c>
      <c r="K49" s="400">
        <v>0.0045</v>
      </c>
      <c r="L49" s="385">
        <f t="shared" si="10"/>
        <v>0</v>
      </c>
      <c r="M49" s="385">
        <f t="shared" si="11"/>
        <v>6.95</v>
      </c>
      <c r="N49" s="400">
        <v>0.0045</v>
      </c>
      <c r="O49" s="385">
        <f t="shared" ref="O49:O55" si="13">IF(AND($M$46&gt;A49,$M$46&lt;C49),(M48+($M$46-C48)*N49),0)</f>
        <v>0</v>
      </c>
      <c r="P49" s="385">
        <f t="shared" si="12"/>
        <v>6.55</v>
      </c>
      <c r="Q49" s="400">
        <v>0.0055</v>
      </c>
      <c r="R49" s="385">
        <f t="shared" ref="R49:R55" si="14">IF(AND($P$46&gt;A49,$P$46&lt;C49),(P48+($P$46-C48)*Q49),0)</f>
        <v>0</v>
      </c>
    </row>
    <row r="50" spans="1:18">
      <c r="A50" s="385">
        <v>1000</v>
      </c>
      <c r="B50" s="358" t="s">
        <v>196</v>
      </c>
      <c r="C50" s="385">
        <v>5000</v>
      </c>
      <c r="D50" s="385">
        <f t="shared" si="5"/>
        <v>29.9</v>
      </c>
      <c r="E50" s="399">
        <v>0.005</v>
      </c>
      <c r="F50" s="385">
        <f t="shared" si="6"/>
        <v>0</v>
      </c>
      <c r="G50" s="385">
        <f t="shared" si="7"/>
        <v>16.95</v>
      </c>
      <c r="H50" s="400">
        <v>0.0025</v>
      </c>
      <c r="I50" s="385">
        <f t="shared" si="8"/>
        <v>0</v>
      </c>
      <c r="J50" s="385">
        <f t="shared" si="9"/>
        <v>16.95</v>
      </c>
      <c r="K50" s="400">
        <v>0.0025</v>
      </c>
      <c r="L50" s="385">
        <f t="shared" si="10"/>
        <v>0</v>
      </c>
      <c r="M50" s="385">
        <f t="shared" si="11"/>
        <v>16.95</v>
      </c>
      <c r="N50" s="400">
        <v>0.0025</v>
      </c>
      <c r="O50" s="385">
        <f t="shared" si="13"/>
        <v>0</v>
      </c>
      <c r="P50" s="385">
        <f t="shared" si="12"/>
        <v>20.55</v>
      </c>
      <c r="Q50" s="400">
        <v>0.0035</v>
      </c>
      <c r="R50" s="385">
        <f t="shared" si="14"/>
        <v>0</v>
      </c>
    </row>
    <row r="51" spans="1:18">
      <c r="A51" s="385">
        <v>5000</v>
      </c>
      <c r="B51" s="358" t="s">
        <v>196</v>
      </c>
      <c r="C51" s="385">
        <v>10000</v>
      </c>
      <c r="D51" s="385">
        <f t="shared" si="5"/>
        <v>42.4</v>
      </c>
      <c r="E51" s="399">
        <v>0.0025</v>
      </c>
      <c r="F51" s="385">
        <f t="shared" si="6"/>
        <v>0</v>
      </c>
      <c r="G51" s="385">
        <f t="shared" si="7"/>
        <v>21.95</v>
      </c>
      <c r="H51" s="400">
        <v>0.001</v>
      </c>
      <c r="I51" s="385">
        <f t="shared" si="8"/>
        <v>0</v>
      </c>
      <c r="J51" s="385">
        <f t="shared" si="9"/>
        <v>21.95</v>
      </c>
      <c r="K51" s="400">
        <v>0.001</v>
      </c>
      <c r="L51" s="385">
        <f t="shared" si="10"/>
        <v>0</v>
      </c>
      <c r="M51" s="385">
        <f t="shared" si="11"/>
        <v>21.95</v>
      </c>
      <c r="N51" s="400">
        <v>0.001</v>
      </c>
      <c r="O51" s="385">
        <f t="shared" si="13"/>
        <v>0</v>
      </c>
      <c r="P51" s="385">
        <f t="shared" si="12"/>
        <v>30.55</v>
      </c>
      <c r="Q51" s="400">
        <v>0.002</v>
      </c>
      <c r="R51" s="385">
        <f t="shared" si="14"/>
        <v>0</v>
      </c>
    </row>
    <row r="52" spans="1:18">
      <c r="A52" s="385">
        <v>10000</v>
      </c>
      <c r="B52" s="358" t="s">
        <v>196</v>
      </c>
      <c r="C52" s="385">
        <v>50000</v>
      </c>
      <c r="D52" s="385">
        <f t="shared" si="5"/>
        <v>62.4</v>
      </c>
      <c r="E52" s="399">
        <v>0.0005</v>
      </c>
      <c r="F52" s="385">
        <f t="shared" si="6"/>
        <v>0</v>
      </c>
      <c r="G52" s="385">
        <f t="shared" si="7"/>
        <v>41.95</v>
      </c>
      <c r="H52" s="400">
        <v>0.0005</v>
      </c>
      <c r="I52" s="385">
        <f t="shared" si="8"/>
        <v>0</v>
      </c>
      <c r="J52" s="385">
        <f t="shared" si="9"/>
        <v>41.95</v>
      </c>
      <c r="K52" s="400">
        <v>0.0005</v>
      </c>
      <c r="L52" s="385">
        <f t="shared" si="10"/>
        <v>0</v>
      </c>
      <c r="M52" s="385">
        <f t="shared" si="11"/>
        <v>41.95</v>
      </c>
      <c r="N52" s="400">
        <v>0.0005</v>
      </c>
      <c r="O52" s="385">
        <f t="shared" si="13"/>
        <v>0</v>
      </c>
      <c r="P52" s="385">
        <f t="shared" si="12"/>
        <v>50.55</v>
      </c>
      <c r="Q52" s="400">
        <v>0.0005</v>
      </c>
      <c r="R52" s="385">
        <f t="shared" si="14"/>
        <v>34.24289</v>
      </c>
    </row>
    <row r="53" spans="1:18">
      <c r="A53" s="385">
        <v>50000</v>
      </c>
      <c r="B53" s="358" t="s">
        <v>196</v>
      </c>
      <c r="C53" s="385">
        <v>100000</v>
      </c>
      <c r="D53" s="385">
        <f t="shared" si="5"/>
        <v>79.9</v>
      </c>
      <c r="E53" s="401">
        <v>0.00035</v>
      </c>
      <c r="F53" s="385">
        <f t="shared" si="6"/>
        <v>0</v>
      </c>
      <c r="G53" s="385">
        <f t="shared" si="7"/>
        <v>59.45</v>
      </c>
      <c r="H53" s="401">
        <v>0.00035</v>
      </c>
      <c r="I53" s="385">
        <f t="shared" si="8"/>
        <v>0</v>
      </c>
      <c r="J53" s="385">
        <f t="shared" si="9"/>
        <v>59.45</v>
      </c>
      <c r="K53" s="401">
        <v>0.00035</v>
      </c>
      <c r="L53" s="385">
        <f t="shared" si="10"/>
        <v>0</v>
      </c>
      <c r="M53" s="385">
        <f t="shared" si="11"/>
        <v>59.45</v>
      </c>
      <c r="N53" s="401">
        <v>0.00035</v>
      </c>
      <c r="O53" s="385">
        <f t="shared" si="13"/>
        <v>0</v>
      </c>
      <c r="P53" s="385">
        <f t="shared" si="12"/>
        <v>68.05</v>
      </c>
      <c r="Q53" s="401">
        <v>0.00035</v>
      </c>
      <c r="R53" s="385">
        <f t="shared" si="14"/>
        <v>0</v>
      </c>
    </row>
    <row r="54" spans="1:18">
      <c r="A54" s="385">
        <v>100000</v>
      </c>
      <c r="B54" s="358" t="s">
        <v>196</v>
      </c>
      <c r="C54" s="385">
        <v>500000</v>
      </c>
      <c r="D54" s="385">
        <f t="shared" si="5"/>
        <v>111.9</v>
      </c>
      <c r="E54" s="401">
        <v>8e-5</v>
      </c>
      <c r="F54" s="385">
        <f t="shared" si="6"/>
        <v>0</v>
      </c>
      <c r="G54" s="385">
        <f t="shared" si="7"/>
        <v>91.45</v>
      </c>
      <c r="H54" s="401">
        <v>8e-5</v>
      </c>
      <c r="I54" s="385">
        <f t="shared" si="8"/>
        <v>0</v>
      </c>
      <c r="J54" s="385">
        <f t="shared" si="9"/>
        <v>91.45</v>
      </c>
      <c r="K54" s="401">
        <v>8e-5</v>
      </c>
      <c r="L54" s="385">
        <f t="shared" si="10"/>
        <v>0</v>
      </c>
      <c r="M54" s="385">
        <f t="shared" si="11"/>
        <v>91.45</v>
      </c>
      <c r="N54" s="401">
        <v>8e-5</v>
      </c>
      <c r="O54" s="385">
        <f t="shared" si="13"/>
        <v>0</v>
      </c>
      <c r="P54" s="385">
        <f t="shared" si="12"/>
        <v>100.05</v>
      </c>
      <c r="Q54" s="401">
        <v>8e-5</v>
      </c>
      <c r="R54" s="385">
        <f t="shared" si="14"/>
        <v>0</v>
      </c>
    </row>
    <row r="55" spans="1:18">
      <c r="A55" s="385">
        <v>500000</v>
      </c>
      <c r="B55" s="358" t="s">
        <v>196</v>
      </c>
      <c r="C55" s="385">
        <v>1000000</v>
      </c>
      <c r="D55" s="385">
        <f t="shared" si="5"/>
        <v>141.9</v>
      </c>
      <c r="E55" s="401">
        <v>6e-5</v>
      </c>
      <c r="F55" s="385">
        <f t="shared" si="6"/>
        <v>0</v>
      </c>
      <c r="G55" s="385">
        <f t="shared" si="7"/>
        <v>121.45</v>
      </c>
      <c r="H55" s="401">
        <v>6e-5</v>
      </c>
      <c r="I55" s="385">
        <f t="shared" si="8"/>
        <v>0</v>
      </c>
      <c r="J55" s="385">
        <f t="shared" si="9"/>
        <v>121.45</v>
      </c>
      <c r="K55" s="401">
        <v>6e-5</v>
      </c>
      <c r="L55" s="385">
        <f t="shared" si="10"/>
        <v>0</v>
      </c>
      <c r="M55" s="385">
        <f t="shared" si="11"/>
        <v>121.45</v>
      </c>
      <c r="N55" s="401">
        <v>6e-5</v>
      </c>
      <c r="O55" s="385">
        <f t="shared" si="13"/>
        <v>0</v>
      </c>
      <c r="P55" s="385">
        <f t="shared" si="12"/>
        <v>130.05</v>
      </c>
      <c r="Q55" s="401">
        <v>6e-5</v>
      </c>
      <c r="R55" s="385">
        <f t="shared" si="14"/>
        <v>0</v>
      </c>
    </row>
    <row r="56" spans="1:19">
      <c r="A56" s="385">
        <v>1000000</v>
      </c>
      <c r="B56" s="358" t="s">
        <v>203</v>
      </c>
      <c r="C56" s="385"/>
      <c r="D56" s="385"/>
      <c r="E56" s="401">
        <v>4e-5</v>
      </c>
      <c r="F56" s="385">
        <f>IF(AND($D$46&gt;A56),(D55+($D$46-A56)*E56),0)</f>
        <v>0</v>
      </c>
      <c r="G56" s="385"/>
      <c r="H56" s="401">
        <v>4e-5</v>
      </c>
      <c r="I56" s="385">
        <f>IF(AND(G46&gt;A56),(G55+(G46-A56)*H56),0)</f>
        <v>0</v>
      </c>
      <c r="J56" s="385"/>
      <c r="K56" s="401">
        <v>4e-5</v>
      </c>
      <c r="L56" s="385">
        <f>IF(AND(J46&gt;A56),(J55+(J46-A56)*K56),0)</f>
        <v>0</v>
      </c>
      <c r="M56" s="385"/>
      <c r="N56" s="401">
        <v>4e-5</v>
      </c>
      <c r="O56" s="385">
        <f>IF(AND(M46&gt;A56),(M55+(M46-A56)*N56),0)</f>
        <v>0</v>
      </c>
      <c r="P56" s="385"/>
      <c r="Q56" s="401">
        <v>4e-5</v>
      </c>
      <c r="R56" s="385">
        <f>IF(AND(P46&gt;A56),(P55+(P46-A56)*Q56),0)</f>
        <v>0</v>
      </c>
      <c r="S56" s="358" t="s">
        <v>204</v>
      </c>
    </row>
    <row r="57" spans="1:19">
      <c r="A57" s="358" t="s">
        <v>205</v>
      </c>
      <c r="B57" s="358"/>
      <c r="C57" s="358"/>
      <c r="D57" s="373">
        <f>SUM(F47:F56)</f>
        <v>0</v>
      </c>
      <c r="E57" s="373"/>
      <c r="F57" s="373"/>
      <c r="G57" s="373">
        <f>SUM(I47:I56)</f>
        <v>2.0908624</v>
      </c>
      <c r="H57" s="373"/>
      <c r="I57" s="373"/>
      <c r="J57" s="425">
        <f>SUM(L47:L56)</f>
        <v>4.686459488</v>
      </c>
      <c r="K57" s="426"/>
      <c r="L57" s="427"/>
      <c r="M57" s="425">
        <f>SUM(O47:O56)</f>
        <v>3.4816274752</v>
      </c>
      <c r="N57" s="426"/>
      <c r="O57" s="427"/>
      <c r="P57" s="425">
        <f>SUM(R47:R56)</f>
        <v>34.24289</v>
      </c>
      <c r="Q57" s="426"/>
      <c r="R57" s="427"/>
      <c r="S57" s="373">
        <f>SUM(D57:Q57)</f>
        <v>44.5018393632</v>
      </c>
    </row>
    <row r="58" spans="1:19">
      <c r="A58" s="402"/>
      <c r="B58" s="403"/>
      <c r="C58" s="403"/>
      <c r="D58" s="404"/>
      <c r="E58" s="404"/>
      <c r="F58" s="404"/>
      <c r="G58" s="389"/>
      <c r="H58" s="389"/>
      <c r="I58" s="389"/>
      <c r="J58" s="389"/>
      <c r="K58" s="389"/>
      <c r="L58" s="389"/>
      <c r="M58" s="389"/>
      <c r="N58" s="389"/>
      <c r="O58" s="389"/>
      <c r="P58" s="389"/>
      <c r="Q58" s="389"/>
      <c r="R58" s="389"/>
      <c r="S58" s="389"/>
    </row>
    <row r="59" spans="1:19">
      <c r="A59" s="402"/>
      <c r="B59" s="403"/>
      <c r="C59" s="403"/>
      <c r="D59" s="404"/>
      <c r="E59" s="404"/>
      <c r="F59" s="404"/>
      <c r="G59" s="389"/>
      <c r="H59" s="389"/>
      <c r="I59" s="389"/>
      <c r="J59" s="389"/>
      <c r="K59" s="389"/>
      <c r="L59" s="389"/>
      <c r="M59" s="389"/>
      <c r="N59" s="389"/>
      <c r="O59" s="389"/>
      <c r="P59" s="389"/>
      <c r="Q59" s="389"/>
      <c r="R59" s="389"/>
      <c r="S59" s="389"/>
    </row>
    <row r="61" spans="1:7">
      <c r="A61" s="390" t="s">
        <v>206</v>
      </c>
      <c r="B61" s="391"/>
      <c r="C61" s="391"/>
      <c r="D61" s="391"/>
      <c r="E61" s="391"/>
      <c r="F61" s="391"/>
      <c r="G61" s="405"/>
    </row>
    <row r="62" spans="1:7">
      <c r="A62" s="376" t="s">
        <v>0</v>
      </c>
      <c r="B62" s="392" t="s">
        <v>191</v>
      </c>
      <c r="C62" s="393"/>
      <c r="D62" s="394"/>
      <c r="E62" s="406" t="s">
        <v>192</v>
      </c>
      <c r="F62" s="407" t="s">
        <v>193</v>
      </c>
      <c r="G62" s="377" t="s">
        <v>207</v>
      </c>
    </row>
    <row r="63" spans="1:7">
      <c r="A63" s="408"/>
      <c r="B63" s="409"/>
      <c r="C63" s="410"/>
      <c r="D63" s="411"/>
      <c r="E63" s="377" t="s">
        <v>208</v>
      </c>
      <c r="F63" s="412"/>
      <c r="G63" s="371" t="s">
        <v>209</v>
      </c>
    </row>
    <row r="64" spans="1:10">
      <c r="A64" s="379"/>
      <c r="B64" s="395"/>
      <c r="C64" s="396"/>
      <c r="D64" s="397"/>
      <c r="E64" s="377"/>
      <c r="F64" s="413">
        <f>E3</f>
        <v>7000</v>
      </c>
      <c r="G64" s="381">
        <f>SUM(G65:G70)</f>
        <v>5.23529411764706</v>
      </c>
      <c r="J64" s="428"/>
    </row>
    <row r="65" spans="1:7">
      <c r="A65" s="358">
        <v>1</v>
      </c>
      <c r="B65" s="358"/>
      <c r="C65" s="358" t="s">
        <v>195</v>
      </c>
      <c r="D65" s="358">
        <v>3000</v>
      </c>
      <c r="E65" s="429">
        <v>5</v>
      </c>
      <c r="F65" s="383">
        <f>IF(F64&lt;=D65,1,0)</f>
        <v>0</v>
      </c>
      <c r="G65" s="373">
        <f>IF(F65=1,(E65/D65*F64),0)</f>
        <v>0</v>
      </c>
    </row>
    <row r="66" spans="1:7">
      <c r="A66" s="358">
        <v>2</v>
      </c>
      <c r="B66" s="358">
        <v>3000</v>
      </c>
      <c r="C66" s="358" t="s">
        <v>196</v>
      </c>
      <c r="D66" s="358">
        <v>20000</v>
      </c>
      <c r="E66" s="429">
        <v>6</v>
      </c>
      <c r="F66" s="383">
        <f>IF(AND($F$64&lt;=D66,$F$64&gt;B66),1,0)</f>
        <v>1</v>
      </c>
      <c r="G66" s="373">
        <f>IF(F66=1,(E65+((E66-E65)/(D66-B66)*($F$64-B66))),0)</f>
        <v>5.23529411764706</v>
      </c>
    </row>
    <row r="67" spans="1:7">
      <c r="A67" s="358">
        <v>3</v>
      </c>
      <c r="B67" s="358">
        <v>20000</v>
      </c>
      <c r="C67" s="358" t="s">
        <v>196</v>
      </c>
      <c r="D67" s="358">
        <v>100000</v>
      </c>
      <c r="E67" s="429">
        <v>15</v>
      </c>
      <c r="F67" s="383">
        <f>IF(AND($F$64&lt;=D67,$F$64&gt;B67),1,0)</f>
        <v>0</v>
      </c>
      <c r="G67" s="373">
        <f t="shared" ref="G67:G70" si="15">IF(F67=1,(E66+((E67-E66)/(D67-B67)*($F$64-B67))),0)</f>
        <v>0</v>
      </c>
    </row>
    <row r="68" spans="1:14">
      <c r="A68" s="358">
        <v>4</v>
      </c>
      <c r="B68" s="358">
        <v>100000</v>
      </c>
      <c r="C68" s="358" t="s">
        <v>196</v>
      </c>
      <c r="D68" s="358">
        <v>500000</v>
      </c>
      <c r="E68" s="429">
        <v>35</v>
      </c>
      <c r="F68" s="383">
        <f>IF(AND($F$64&lt;=D68,$F$64&gt;B68),1,0)</f>
        <v>0</v>
      </c>
      <c r="G68" s="373">
        <f t="shared" si="15"/>
        <v>0</v>
      </c>
      <c r="N68" s="428"/>
    </row>
    <row r="69" spans="1:7">
      <c r="A69" s="358">
        <v>5</v>
      </c>
      <c r="B69" s="358">
        <v>500000</v>
      </c>
      <c r="C69" s="358" t="s">
        <v>196</v>
      </c>
      <c r="D69" s="358">
        <v>1000000</v>
      </c>
      <c r="E69" s="429">
        <v>75</v>
      </c>
      <c r="F69" s="383">
        <f>IF(AND($F$64&lt;=D69,$F$64&gt;B69),1,0)</f>
        <v>0</v>
      </c>
      <c r="G69" s="373">
        <f t="shared" si="15"/>
        <v>0</v>
      </c>
    </row>
    <row r="70" spans="1:7">
      <c r="A70" s="358">
        <v>6</v>
      </c>
      <c r="B70" s="358">
        <v>1000000</v>
      </c>
      <c r="C70" s="358" t="s">
        <v>196</v>
      </c>
      <c r="D70" s="358">
        <v>500000</v>
      </c>
      <c r="E70" s="429">
        <v>110</v>
      </c>
      <c r="F70" s="383">
        <f>IF(AND($F$64&lt;=D70,$F$64&gt;B70),1,0)</f>
        <v>0</v>
      </c>
      <c r="G70" s="373">
        <f t="shared" si="15"/>
        <v>0</v>
      </c>
    </row>
    <row r="71" spans="1:7">
      <c r="A71" s="366"/>
      <c r="B71" s="366"/>
      <c r="C71" s="366"/>
      <c r="D71" s="366"/>
      <c r="E71" s="387"/>
      <c r="F71" s="388"/>
      <c r="G71" s="389"/>
    </row>
    <row r="72" spans="1:19">
      <c r="A72" s="366"/>
      <c r="B72" s="366"/>
      <c r="C72" s="366"/>
      <c r="D72" s="389"/>
      <c r="E72" s="389"/>
      <c r="F72" s="389"/>
      <c r="G72" s="389"/>
      <c r="H72" s="389"/>
      <c r="I72" s="389"/>
      <c r="J72" s="389"/>
      <c r="K72" s="389"/>
      <c r="L72" s="389"/>
      <c r="M72" s="389"/>
      <c r="N72" s="389"/>
      <c r="O72" s="389"/>
      <c r="P72" s="389"/>
      <c r="Q72" s="389"/>
      <c r="R72" s="389"/>
      <c r="S72" s="389"/>
    </row>
    <row r="73" spans="1:19">
      <c r="A73" s="375" t="str">
        <f>工程建设其他费细则说明!B31</f>
        <v>社会稳定风险评估费</v>
      </c>
      <c r="B73" s="375"/>
      <c r="C73" s="375"/>
      <c r="D73" s="375"/>
      <c r="E73" s="375"/>
      <c r="F73" s="375"/>
      <c r="G73" s="375"/>
      <c r="H73" s="375"/>
      <c r="I73" s="375"/>
      <c r="J73" s="389"/>
      <c r="K73" s="389"/>
      <c r="L73" s="389"/>
      <c r="M73" s="389"/>
      <c r="N73" s="389"/>
      <c r="O73" s="389"/>
      <c r="P73" s="389"/>
      <c r="Q73" s="389"/>
      <c r="R73" s="389"/>
      <c r="S73" s="389"/>
    </row>
    <row r="74" ht="16.5" spans="1:9">
      <c r="A74" s="371" t="s">
        <v>0</v>
      </c>
      <c r="B74" s="371" t="s">
        <v>210</v>
      </c>
      <c r="C74" s="371"/>
      <c r="D74" s="371"/>
      <c r="E74" s="371" t="s">
        <v>211</v>
      </c>
      <c r="F74" s="371" t="s">
        <v>193</v>
      </c>
      <c r="G74" s="377" t="s">
        <v>212</v>
      </c>
      <c r="H74" s="377" t="s">
        <v>213</v>
      </c>
      <c r="I74" s="371" t="s">
        <v>189</v>
      </c>
    </row>
    <row r="75" spans="1:9">
      <c r="A75" s="371"/>
      <c r="B75" s="371"/>
      <c r="C75" s="371"/>
      <c r="D75" s="371"/>
      <c r="E75" s="371"/>
      <c r="F75" s="430">
        <f>E3</f>
        <v>7000</v>
      </c>
      <c r="G75" s="431">
        <f>SUM(G76:G81)</f>
        <v>4.71428571428571</v>
      </c>
      <c r="H75" s="371">
        <v>1.2</v>
      </c>
      <c r="I75" s="431">
        <f>SUM(I76:I81)</f>
        <v>5.65714285714286</v>
      </c>
    </row>
    <row r="76" spans="1:9">
      <c r="A76" s="358">
        <v>1</v>
      </c>
      <c r="B76" s="358"/>
      <c r="C76" s="358" t="s">
        <v>203</v>
      </c>
      <c r="D76" s="358">
        <v>3000</v>
      </c>
      <c r="E76" s="358">
        <v>3</v>
      </c>
      <c r="F76" s="383">
        <f>IF(AND(F75&lt;=D76,F75&gt;0),1,0)</f>
        <v>0</v>
      </c>
      <c r="G76" s="385">
        <f>IF(F76=1,E76/D76*F75,0)</f>
        <v>0</v>
      </c>
      <c r="H76" s="358">
        <v>1.2</v>
      </c>
      <c r="I76" s="385">
        <f>IF(F76=1,MAX(G76*H76,E76),0)</f>
        <v>0</v>
      </c>
    </row>
    <row r="77" spans="1:9">
      <c r="A77" s="358">
        <v>2</v>
      </c>
      <c r="B77" s="358">
        <v>3000</v>
      </c>
      <c r="C77" s="358" t="s">
        <v>196</v>
      </c>
      <c r="D77" s="358">
        <v>10000</v>
      </c>
      <c r="E77" s="358">
        <v>6</v>
      </c>
      <c r="F77" s="383">
        <f>IF(AND($F$75&gt;B77,$F$75&lt;=D77),1,0)</f>
        <v>1</v>
      </c>
      <c r="G77" s="385">
        <f>IF(F77=1,(E76+(E77-E76)/(D77-B77)*($F$75-B77)),0)</f>
        <v>4.71428571428571</v>
      </c>
      <c r="H77" s="358">
        <v>1.2</v>
      </c>
      <c r="I77" s="385">
        <f t="shared" ref="I77:I80" si="16">G77*H77</f>
        <v>5.65714285714286</v>
      </c>
    </row>
    <row r="78" spans="1:9">
      <c r="A78" s="358">
        <v>3</v>
      </c>
      <c r="B78" s="358">
        <v>10000</v>
      </c>
      <c r="C78" s="358" t="s">
        <v>196</v>
      </c>
      <c r="D78" s="358">
        <v>50000</v>
      </c>
      <c r="E78" s="358">
        <v>9</v>
      </c>
      <c r="F78" s="383">
        <f>IF(AND($F$75&gt;B78,$F$75&lt;=D78),1,0)</f>
        <v>0</v>
      </c>
      <c r="G78" s="385">
        <f>IF(F78=1,(E77+(E78-E77)/(D78-B78)*($F$75-B78)),0)</f>
        <v>0</v>
      </c>
      <c r="H78" s="358">
        <v>1.2</v>
      </c>
      <c r="I78" s="385">
        <f t="shared" si="16"/>
        <v>0</v>
      </c>
    </row>
    <row r="79" spans="1:9">
      <c r="A79" s="358">
        <v>4</v>
      </c>
      <c r="B79" s="358">
        <v>50000</v>
      </c>
      <c r="C79" s="358" t="s">
        <v>196</v>
      </c>
      <c r="D79" s="358">
        <v>100000</v>
      </c>
      <c r="E79" s="358">
        <v>12</v>
      </c>
      <c r="F79" s="383">
        <f>IF(AND($F$75&gt;B79,$F$75&lt;=D79),1,0)</f>
        <v>0</v>
      </c>
      <c r="G79" s="385">
        <f>IF(F79=1,(E78+(E79-E78)/(D79-B79)*($F$75-B79)),0)</f>
        <v>0</v>
      </c>
      <c r="H79" s="358">
        <v>1.2</v>
      </c>
      <c r="I79" s="385">
        <f t="shared" si="16"/>
        <v>0</v>
      </c>
    </row>
    <row r="80" spans="1:9">
      <c r="A80" s="358">
        <v>5</v>
      </c>
      <c r="B80" s="358">
        <v>100000</v>
      </c>
      <c r="C80" s="358" t="s">
        <v>196</v>
      </c>
      <c r="D80" s="358">
        <v>500000</v>
      </c>
      <c r="E80" s="358">
        <v>15</v>
      </c>
      <c r="F80" s="383">
        <f>IF(AND($F$75&gt;B80,$F$75&lt;=D80),1,0)</f>
        <v>0</v>
      </c>
      <c r="G80" s="385">
        <f>IF(F80=1,(E79+(E80-E79)/(D80-B80)*($F$75-B80)),0)</f>
        <v>0</v>
      </c>
      <c r="H80" s="358">
        <v>1.2</v>
      </c>
      <c r="I80" s="385">
        <f t="shared" si="16"/>
        <v>0</v>
      </c>
    </row>
    <row r="81" spans="1:9">
      <c r="A81" s="358">
        <v>6</v>
      </c>
      <c r="B81" s="358">
        <v>500000</v>
      </c>
      <c r="C81" s="358" t="s">
        <v>203</v>
      </c>
      <c r="D81" s="358"/>
      <c r="E81" s="358">
        <v>20</v>
      </c>
      <c r="F81" s="383">
        <f>IF(F75&gt;B81,1,0)</f>
        <v>0</v>
      </c>
      <c r="G81" s="385">
        <f>IF(F81=1,E81/B81*F75,0)</f>
        <v>0</v>
      </c>
      <c r="H81" s="358">
        <v>1.2</v>
      </c>
      <c r="I81" s="385">
        <f>IF(F81=1,MIN(G81*H81,E81),0)</f>
        <v>0</v>
      </c>
    </row>
    <row r="82" ht="29.4" customHeight="1" spans="1:9">
      <c r="A82" s="432" t="s">
        <v>214</v>
      </c>
      <c r="B82" s="432"/>
      <c r="C82" s="432"/>
      <c r="D82" s="432"/>
      <c r="E82" s="432"/>
      <c r="F82" s="432"/>
      <c r="G82" s="432"/>
      <c r="H82" s="432"/>
      <c r="I82" s="432"/>
    </row>
    <row r="83" spans="1:8">
      <c r="A83" s="366"/>
      <c r="B83" s="366"/>
      <c r="C83" s="366"/>
      <c r="D83" s="366"/>
      <c r="E83" s="366"/>
      <c r="F83" s="388"/>
      <c r="G83" s="386"/>
      <c r="H83" s="354"/>
    </row>
    <row r="84" spans="1:19">
      <c r="A84" s="366"/>
      <c r="B84" s="366"/>
      <c r="C84" s="366"/>
      <c r="D84" s="389"/>
      <c r="E84" s="389"/>
      <c r="F84" s="389"/>
      <c r="G84" s="389"/>
      <c r="H84" s="389"/>
      <c r="I84" s="389"/>
      <c r="J84" s="389"/>
      <c r="K84" s="389"/>
      <c r="L84" s="389"/>
      <c r="M84" s="389"/>
      <c r="N84" s="389"/>
      <c r="O84" s="389"/>
      <c r="P84" s="389"/>
      <c r="Q84" s="389"/>
      <c r="R84" s="389"/>
      <c r="S84" s="389"/>
    </row>
    <row r="85" spans="1:7">
      <c r="A85" s="375" t="s">
        <v>215</v>
      </c>
      <c r="B85" s="375"/>
      <c r="C85" s="375"/>
      <c r="D85" s="375"/>
      <c r="E85" s="375"/>
      <c r="F85" s="375"/>
      <c r="G85" s="375"/>
    </row>
    <row r="86" ht="16.5" spans="1:12">
      <c r="A86" s="358" t="s">
        <v>0</v>
      </c>
      <c r="B86" s="433" t="s">
        <v>216</v>
      </c>
      <c r="C86" s="434"/>
      <c r="D86" s="435"/>
      <c r="E86" s="436" t="s">
        <v>217</v>
      </c>
      <c r="F86" s="371" t="s">
        <v>193</v>
      </c>
      <c r="G86" s="437" t="s">
        <v>194</v>
      </c>
      <c r="H86" s="378"/>
      <c r="I86" s="378"/>
      <c r="J86" s="378"/>
      <c r="K86" s="378"/>
      <c r="L86" s="378"/>
    </row>
    <row r="87" spans="1:12">
      <c r="A87" s="358"/>
      <c r="B87" s="438"/>
      <c r="C87" s="439"/>
      <c r="D87" s="440"/>
      <c r="E87" s="441"/>
      <c r="F87" s="442">
        <f>E3</f>
        <v>7000</v>
      </c>
      <c r="G87" s="358">
        <f>SUM(G88:G96)</f>
        <v>7.2</v>
      </c>
      <c r="H87" s="378"/>
      <c r="I87" s="378"/>
      <c r="J87" s="378"/>
      <c r="K87" s="378"/>
      <c r="L87" s="378"/>
    </row>
    <row r="88" spans="1:12">
      <c r="A88" s="358">
        <v>1</v>
      </c>
      <c r="B88" s="358"/>
      <c r="C88" s="358" t="s">
        <v>203</v>
      </c>
      <c r="D88" s="358">
        <f>10000*0.05</f>
        <v>500</v>
      </c>
      <c r="E88" s="358">
        <v>2</v>
      </c>
      <c r="F88" s="383">
        <f>IF(F87&lt;=D88,1,0)</f>
        <v>0</v>
      </c>
      <c r="G88" s="358">
        <f>IF(F88=1,E88/D88*F87,0)</f>
        <v>0</v>
      </c>
      <c r="H88" s="366"/>
      <c r="I88" s="366"/>
      <c r="J88" s="366"/>
      <c r="K88" s="366"/>
      <c r="L88" s="366"/>
    </row>
    <row r="89" spans="1:7">
      <c r="A89" s="358">
        <v>2</v>
      </c>
      <c r="B89" s="358">
        <f>10000*0.05</f>
        <v>500</v>
      </c>
      <c r="C89" s="358" t="s">
        <v>196</v>
      </c>
      <c r="D89" s="358">
        <f>10000*0.1</f>
        <v>1000</v>
      </c>
      <c r="E89" s="358">
        <v>3.5</v>
      </c>
      <c r="F89" s="443">
        <f t="shared" ref="F89:F95" si="17">IF(AND($F$87&gt;B89,$F$87&lt;=D89),1,0)</f>
        <v>0</v>
      </c>
      <c r="G89" s="358">
        <f>IF(F89=1,(E88+(E89-E88)/(D89-B89)*($F$87-B89)),0)</f>
        <v>0</v>
      </c>
    </row>
    <row r="90" spans="1:7">
      <c r="A90" s="358">
        <v>3</v>
      </c>
      <c r="B90" s="358">
        <f>10000*0.1</f>
        <v>1000</v>
      </c>
      <c r="C90" s="358" t="s">
        <v>196</v>
      </c>
      <c r="D90" s="358">
        <f>10000*0.2</f>
        <v>2000</v>
      </c>
      <c r="E90" s="358">
        <v>5</v>
      </c>
      <c r="F90" s="443">
        <f t="shared" si="17"/>
        <v>0</v>
      </c>
      <c r="G90" s="358">
        <f t="shared" ref="G90:G95" si="18">IF(F90=1,(E89+(E90-E89)/(D90-B90)*($F$87-B90)),0)</f>
        <v>0</v>
      </c>
    </row>
    <row r="91" spans="1:7">
      <c r="A91" s="358">
        <v>4</v>
      </c>
      <c r="B91" s="358">
        <f>10000*0.2</f>
        <v>2000</v>
      </c>
      <c r="C91" s="444" t="s">
        <v>196</v>
      </c>
      <c r="D91" s="358">
        <f>10000*0.5</f>
        <v>5000</v>
      </c>
      <c r="E91" s="358">
        <v>7</v>
      </c>
      <c r="F91" s="443">
        <f t="shared" si="17"/>
        <v>0</v>
      </c>
      <c r="G91" s="358">
        <f t="shared" si="18"/>
        <v>0</v>
      </c>
    </row>
    <row r="92" spans="1:7">
      <c r="A92" s="358">
        <v>5</v>
      </c>
      <c r="B92" s="358">
        <f>10000*0.5</f>
        <v>5000</v>
      </c>
      <c r="C92" s="358" t="s">
        <v>196</v>
      </c>
      <c r="D92" s="358">
        <v>10000</v>
      </c>
      <c r="E92" s="358">
        <f>0.5*1.5*10000/1000</f>
        <v>7.5</v>
      </c>
      <c r="F92" s="443">
        <f t="shared" si="17"/>
        <v>1</v>
      </c>
      <c r="G92" s="358">
        <f t="shared" si="18"/>
        <v>7.2</v>
      </c>
    </row>
    <row r="93" spans="1:7">
      <c r="A93" s="358">
        <v>6</v>
      </c>
      <c r="B93" s="358">
        <v>10000</v>
      </c>
      <c r="C93" s="358" t="s">
        <v>196</v>
      </c>
      <c r="D93" s="358">
        <v>20000</v>
      </c>
      <c r="E93" s="358">
        <f>1*10000*1/1000</f>
        <v>10</v>
      </c>
      <c r="F93" s="443">
        <f t="shared" si="17"/>
        <v>0</v>
      </c>
      <c r="G93" s="358">
        <f t="shared" si="18"/>
        <v>0</v>
      </c>
    </row>
    <row r="94" spans="1:7">
      <c r="A94" s="358">
        <v>7</v>
      </c>
      <c r="B94" s="358">
        <v>20000</v>
      </c>
      <c r="C94" s="358" t="s">
        <v>196</v>
      </c>
      <c r="D94" s="358">
        <v>50000</v>
      </c>
      <c r="E94" s="358">
        <f>2*0.7*10000/1000</f>
        <v>14</v>
      </c>
      <c r="F94" s="443">
        <f t="shared" si="17"/>
        <v>0</v>
      </c>
      <c r="G94" s="358">
        <f t="shared" si="18"/>
        <v>0</v>
      </c>
    </row>
    <row r="95" spans="1:7">
      <c r="A95" s="358">
        <v>8</v>
      </c>
      <c r="B95" s="358">
        <v>50000</v>
      </c>
      <c r="C95" s="358" t="s">
        <v>196</v>
      </c>
      <c r="D95" s="358">
        <v>100000</v>
      </c>
      <c r="E95" s="358">
        <f>5*0.4*10000/1000</f>
        <v>20</v>
      </c>
      <c r="F95" s="443">
        <f t="shared" si="17"/>
        <v>0</v>
      </c>
      <c r="G95" s="358">
        <f t="shared" si="18"/>
        <v>0</v>
      </c>
    </row>
    <row r="96" spans="1:7">
      <c r="A96" s="358">
        <v>9</v>
      </c>
      <c r="B96" s="358">
        <v>100000</v>
      </c>
      <c r="C96" s="358"/>
      <c r="D96" s="358"/>
      <c r="E96" s="358">
        <f>10*0.3*10000/1000</f>
        <v>30</v>
      </c>
      <c r="F96" s="443">
        <f>IF(F87&gt;B96,1,0)</f>
        <v>0</v>
      </c>
      <c r="G96" s="358">
        <f>IF(F96=1,E96/B96*F87,0)</f>
        <v>0</v>
      </c>
    </row>
    <row r="97" spans="1:7">
      <c r="A97" s="366"/>
      <c r="B97" s="366"/>
      <c r="C97" s="366"/>
      <c r="D97" s="366"/>
      <c r="E97" s="366"/>
      <c r="F97" s="445"/>
      <c r="G97" s="366"/>
    </row>
    <row r="98" spans="1:7">
      <c r="A98" s="366"/>
      <c r="B98" s="366"/>
      <c r="C98" s="366"/>
      <c r="D98" s="366"/>
      <c r="E98" s="366"/>
      <c r="F98" s="445"/>
      <c r="G98" s="366"/>
    </row>
    <row r="99" spans="1:10">
      <c r="A99" s="390" t="s">
        <v>218</v>
      </c>
      <c r="B99" s="391"/>
      <c r="C99" s="391"/>
      <c r="D99" s="391"/>
      <c r="E99" s="391"/>
      <c r="F99" s="391"/>
      <c r="G99" s="391"/>
      <c r="H99" s="391"/>
      <c r="I99" s="391"/>
      <c r="J99" s="405"/>
    </row>
    <row r="100" ht="27.6" customHeight="1" spans="1:10">
      <c r="A100" s="371" t="s">
        <v>0</v>
      </c>
      <c r="B100" s="377" t="s">
        <v>219</v>
      </c>
      <c r="C100" s="377"/>
      <c r="D100" s="377"/>
      <c r="E100" s="377" t="s">
        <v>220</v>
      </c>
      <c r="F100" s="377" t="s">
        <v>221</v>
      </c>
      <c r="G100" s="377" t="s">
        <v>222</v>
      </c>
      <c r="H100" s="377" t="s">
        <v>223</v>
      </c>
      <c r="I100" s="377" t="s">
        <v>224</v>
      </c>
      <c r="J100" s="377" t="s">
        <v>225</v>
      </c>
    </row>
    <row r="101" spans="1:10">
      <c r="A101" s="371"/>
      <c r="B101" s="377"/>
      <c r="C101" s="377"/>
      <c r="D101" s="377"/>
      <c r="E101" s="377"/>
      <c r="F101" s="377"/>
      <c r="G101" s="446">
        <f>G3</f>
        <v>0</v>
      </c>
      <c r="H101" s="385">
        <f>SUM(H102:H106)</f>
        <v>0</v>
      </c>
      <c r="I101" s="454">
        <v>1</v>
      </c>
      <c r="J101" s="385">
        <f>SUM(J102:J106)</f>
        <v>0</v>
      </c>
    </row>
    <row r="102" spans="1:10">
      <c r="A102" s="358">
        <v>1</v>
      </c>
      <c r="B102" s="358"/>
      <c r="C102" s="358" t="s">
        <v>203</v>
      </c>
      <c r="D102" s="447">
        <v>5</v>
      </c>
      <c r="E102" s="447">
        <v>2</v>
      </c>
      <c r="F102" s="448">
        <v>10</v>
      </c>
      <c r="G102" s="385">
        <f>IF(AND(G101&lt;=D102,G101&gt;0),1,0)</f>
        <v>0</v>
      </c>
      <c r="H102" s="385">
        <f>IF(G102=1,F102,0)</f>
        <v>0</v>
      </c>
      <c r="I102" s="454">
        <f>I$101</f>
        <v>1</v>
      </c>
      <c r="J102" s="385">
        <f>H102*I102</f>
        <v>0</v>
      </c>
    </row>
    <row r="103" spans="1:10">
      <c r="A103" s="358">
        <v>2</v>
      </c>
      <c r="B103" s="447">
        <v>5</v>
      </c>
      <c r="C103" s="358" t="s">
        <v>196</v>
      </c>
      <c r="D103" s="447">
        <v>20</v>
      </c>
      <c r="E103" s="447">
        <v>2</v>
      </c>
      <c r="F103" s="448">
        <v>10</v>
      </c>
      <c r="G103" s="385">
        <f>IF(AND($G$2&lt;=D103,$G$2&gt;B103),1,0)</f>
        <v>0</v>
      </c>
      <c r="H103" s="385">
        <f>IF(G103=1,(F103+(G$2-B103)*E103),0)</f>
        <v>0</v>
      </c>
      <c r="I103" s="454">
        <f t="shared" ref="I103:I106" si="19">I$101</f>
        <v>1</v>
      </c>
      <c r="J103" s="385">
        <f t="shared" ref="J103:J106" si="20">H103*I103</f>
        <v>0</v>
      </c>
    </row>
    <row r="104" spans="1:10">
      <c r="A104" s="358">
        <v>3</v>
      </c>
      <c r="B104" s="447">
        <v>20</v>
      </c>
      <c r="C104" s="358" t="s">
        <v>196</v>
      </c>
      <c r="D104" s="447">
        <v>100</v>
      </c>
      <c r="E104" s="447">
        <v>1.5</v>
      </c>
      <c r="F104" s="448">
        <v>40</v>
      </c>
      <c r="G104" s="385">
        <f t="shared" ref="G104:G105" si="21">IF(AND($G$2&lt;=D104,$G$2&gt;B104),1,0)</f>
        <v>0</v>
      </c>
      <c r="H104" s="385">
        <f>IF(G104=1,(F104+(G$2-B104)*E104),0)</f>
        <v>0</v>
      </c>
      <c r="I104" s="454">
        <f t="shared" si="19"/>
        <v>1</v>
      </c>
      <c r="J104" s="385">
        <f t="shared" si="20"/>
        <v>0</v>
      </c>
    </row>
    <row r="105" spans="1:10">
      <c r="A105" s="358">
        <v>4</v>
      </c>
      <c r="B105" s="447">
        <v>100</v>
      </c>
      <c r="C105" s="358" t="s">
        <v>196</v>
      </c>
      <c r="D105" s="447">
        <v>200</v>
      </c>
      <c r="E105" s="447">
        <v>1</v>
      </c>
      <c r="F105" s="448">
        <v>160</v>
      </c>
      <c r="G105" s="385">
        <f t="shared" si="21"/>
        <v>0</v>
      </c>
      <c r="H105" s="385">
        <f>IF(G105=1,(F105+(G$2-B105)*E105),0)</f>
        <v>0</v>
      </c>
      <c r="I105" s="454">
        <f t="shared" si="19"/>
        <v>1</v>
      </c>
      <c r="J105" s="385">
        <f t="shared" si="20"/>
        <v>0</v>
      </c>
    </row>
    <row r="106" spans="1:10">
      <c r="A106" s="358">
        <v>5</v>
      </c>
      <c r="B106" s="447">
        <v>200</v>
      </c>
      <c r="C106" s="358" t="s">
        <v>203</v>
      </c>
      <c r="D106" s="358"/>
      <c r="E106" s="447">
        <v>0.8</v>
      </c>
      <c r="F106" s="448">
        <v>260</v>
      </c>
      <c r="G106" s="385">
        <f>IF(G101&gt;B106,1,0)</f>
        <v>0</v>
      </c>
      <c r="H106" s="385">
        <f t="shared" ref="H106" si="22">IF(G106=1,MAX(F106,E106*$G$2),0)</f>
        <v>0</v>
      </c>
      <c r="I106" s="454">
        <f t="shared" si="19"/>
        <v>1</v>
      </c>
      <c r="J106" s="385">
        <f t="shared" si="20"/>
        <v>0</v>
      </c>
    </row>
    <row r="107" spans="1:10">
      <c r="A107" s="432" t="s">
        <v>226</v>
      </c>
      <c r="B107" s="449"/>
      <c r="C107" s="449"/>
      <c r="D107" s="449"/>
      <c r="E107" s="449"/>
      <c r="F107" s="449"/>
      <c r="G107" s="449"/>
      <c r="H107" s="449"/>
      <c r="I107" s="449"/>
      <c r="J107" s="449"/>
    </row>
    <row r="108" spans="1:19">
      <c r="A108" s="366"/>
      <c r="B108" s="366"/>
      <c r="C108" s="366"/>
      <c r="D108" s="389"/>
      <c r="E108" s="389"/>
      <c r="F108" s="389"/>
      <c r="G108" s="389"/>
      <c r="H108" s="389"/>
      <c r="I108" s="389"/>
      <c r="J108" s="389"/>
      <c r="K108" s="389"/>
      <c r="L108" s="389"/>
      <c r="M108" s="389"/>
      <c r="N108" s="389"/>
      <c r="O108" s="389"/>
      <c r="P108" s="389"/>
      <c r="Q108" s="389"/>
      <c r="R108" s="389"/>
      <c r="S108" s="389"/>
    </row>
    <row r="110" spans="1:8">
      <c r="A110" s="375" t="s">
        <v>227</v>
      </c>
      <c r="B110" s="375"/>
      <c r="C110" s="375"/>
      <c r="D110" s="375"/>
      <c r="E110" s="375"/>
      <c r="F110" s="375"/>
      <c r="G110" s="375"/>
      <c r="H110" s="375"/>
    </row>
    <row r="111" ht="16.5" spans="1:8">
      <c r="A111" s="371" t="s">
        <v>228</v>
      </c>
      <c r="B111" s="371"/>
      <c r="C111" s="371"/>
      <c r="D111" s="371"/>
      <c r="E111" s="371"/>
      <c r="F111" s="371"/>
      <c r="G111" s="377" t="s">
        <v>229</v>
      </c>
      <c r="H111" s="377" t="s">
        <v>230</v>
      </c>
    </row>
    <row r="112" spans="1:8">
      <c r="A112" s="371" t="s">
        <v>0</v>
      </c>
      <c r="B112" s="371" t="s">
        <v>191</v>
      </c>
      <c r="C112" s="371"/>
      <c r="D112" s="371"/>
      <c r="E112" s="371" t="s">
        <v>231</v>
      </c>
      <c r="F112" s="371" t="s">
        <v>232</v>
      </c>
      <c r="G112" s="450">
        <f>C2</f>
        <v>17385.78</v>
      </c>
      <c r="H112" s="381">
        <f>SUM(H113:H118)</f>
        <v>213.8578</v>
      </c>
    </row>
    <row r="113" spans="1:8">
      <c r="A113" s="358">
        <v>1</v>
      </c>
      <c r="B113" s="358"/>
      <c r="C113" s="358" t="s">
        <v>195</v>
      </c>
      <c r="D113" s="358">
        <v>1000</v>
      </c>
      <c r="E113" s="451">
        <v>0.02</v>
      </c>
      <c r="F113" s="358">
        <f>E113*D113</f>
        <v>20</v>
      </c>
      <c r="G113" s="452">
        <f>IF(G112&lt;=D113,1,0)</f>
        <v>0</v>
      </c>
      <c r="H113" s="373">
        <f>IF(G113=1,(G112*E113),0)</f>
        <v>0</v>
      </c>
    </row>
    <row r="114" spans="1:8">
      <c r="A114" s="358">
        <v>2</v>
      </c>
      <c r="B114" s="358">
        <v>1001</v>
      </c>
      <c r="C114" s="358" t="s">
        <v>196</v>
      </c>
      <c r="D114" s="358">
        <v>5000</v>
      </c>
      <c r="E114" s="453">
        <v>0.015</v>
      </c>
      <c r="F114" s="358">
        <f>F113+(D114-D113)*E114</f>
        <v>80</v>
      </c>
      <c r="G114" s="383">
        <f>IF(AND($G$112&lt;=D114,$G$112&gt;B114),1,0)</f>
        <v>0</v>
      </c>
      <c r="H114" s="373">
        <f>IF(G114=1,(F113+($G$112-D113)*E114),0)</f>
        <v>0</v>
      </c>
    </row>
    <row r="115" spans="1:8">
      <c r="A115" s="358">
        <v>3</v>
      </c>
      <c r="B115" s="358">
        <v>5001</v>
      </c>
      <c r="C115" s="358" t="s">
        <v>196</v>
      </c>
      <c r="D115" s="358">
        <v>10000</v>
      </c>
      <c r="E115" s="453">
        <v>0.012</v>
      </c>
      <c r="F115" s="358">
        <f>F114+(D115-D114)*E115</f>
        <v>140</v>
      </c>
      <c r="G115" s="383">
        <f>IF(AND($G$112&lt;=D115,$G$112&gt;B115),1,0)</f>
        <v>0</v>
      </c>
      <c r="H115" s="373">
        <f>IF(G115=1,(F114+($G$112-D114)*E115),0)</f>
        <v>0</v>
      </c>
    </row>
    <row r="116" spans="1:8">
      <c r="A116" s="358">
        <v>4</v>
      </c>
      <c r="B116" s="358">
        <v>10001</v>
      </c>
      <c r="C116" s="358" t="s">
        <v>196</v>
      </c>
      <c r="D116" s="358">
        <v>50000</v>
      </c>
      <c r="E116" s="451">
        <v>0.01</v>
      </c>
      <c r="F116" s="358">
        <f>F115+(D116-D115)*E116</f>
        <v>540</v>
      </c>
      <c r="G116" s="383">
        <f>IF(AND($G$112&lt;=D116,$G$112&gt;B116),1,0)</f>
        <v>1</v>
      </c>
      <c r="H116" s="373">
        <f>IF(G116=1,(F115+($G$112-D115)*E116),0)</f>
        <v>213.8578</v>
      </c>
    </row>
    <row r="117" spans="1:8">
      <c r="A117" s="358">
        <v>5</v>
      </c>
      <c r="B117" s="358">
        <v>50001</v>
      </c>
      <c r="C117" s="358" t="s">
        <v>196</v>
      </c>
      <c r="D117" s="358">
        <v>100000</v>
      </c>
      <c r="E117" s="453">
        <v>0.008</v>
      </c>
      <c r="F117" s="358">
        <f>F116+(D117-D116)*E117</f>
        <v>940</v>
      </c>
      <c r="G117" s="383">
        <f>IF(AND($G$112&lt;=D117,$G$112&gt;B117),1,0)</f>
        <v>0</v>
      </c>
      <c r="H117" s="373">
        <f>IF(G117=1,(F116+($G$112-D116)*E117),0)</f>
        <v>0</v>
      </c>
    </row>
    <row r="118" spans="1:8">
      <c r="A118" s="358">
        <v>6</v>
      </c>
      <c r="B118" s="358">
        <v>100000</v>
      </c>
      <c r="C118" s="358" t="s">
        <v>203</v>
      </c>
      <c r="D118" s="358"/>
      <c r="E118" s="453">
        <v>0.004</v>
      </c>
      <c r="F118" s="358"/>
      <c r="G118" s="383">
        <f>IF(AND($G$112&gt;B118),1,0)</f>
        <v>0</v>
      </c>
      <c r="H118" s="373">
        <f>IF(G118=1,(F117+($G$112-D117)*E118),0)</f>
        <v>0</v>
      </c>
    </row>
    <row r="119" spans="7:8">
      <c r="G119" s="354"/>
      <c r="H119" s="354"/>
    </row>
    <row r="121" spans="1:5">
      <c r="A121" s="390" t="s">
        <v>233</v>
      </c>
      <c r="B121" s="391"/>
      <c r="C121" s="391"/>
      <c r="D121" s="391"/>
      <c r="E121" s="405"/>
    </row>
    <row r="122" ht="16.5" spans="1:5">
      <c r="A122" s="371" t="s">
        <v>0</v>
      </c>
      <c r="B122" s="371" t="s">
        <v>234</v>
      </c>
      <c r="C122" s="371" t="s">
        <v>235</v>
      </c>
      <c r="D122" s="371" t="s">
        <v>193</v>
      </c>
      <c r="E122" s="377" t="s">
        <v>194</v>
      </c>
    </row>
    <row r="123" spans="1:5">
      <c r="A123" s="358"/>
      <c r="B123" s="358"/>
      <c r="C123" s="358"/>
      <c r="D123" s="373">
        <f>C2</f>
        <v>17385.78</v>
      </c>
      <c r="E123" s="373">
        <f>SUM(E124:E142)</f>
        <v>498.307436</v>
      </c>
    </row>
    <row r="124" spans="1:5">
      <c r="A124" s="358">
        <v>1</v>
      </c>
      <c r="B124" s="358">
        <v>200</v>
      </c>
      <c r="C124" s="447">
        <v>9</v>
      </c>
      <c r="D124" s="383">
        <f>IF(D123&lt;=B124,1,0)</f>
        <v>0</v>
      </c>
      <c r="E124" s="373">
        <f>IF(D124=1,(C124/B124*D123),0)</f>
        <v>0</v>
      </c>
    </row>
    <row r="125" spans="1:5">
      <c r="A125" s="358">
        <v>2</v>
      </c>
      <c r="B125" s="358">
        <v>500</v>
      </c>
      <c r="C125" s="447">
        <v>20.9</v>
      </c>
      <c r="D125" s="383">
        <f>IF(AND($D$123&lt;=B125,$D$123&gt;B124),1,0)</f>
        <v>0</v>
      </c>
      <c r="E125" s="373">
        <f>IF($D125=1,(C124+(C125-C124)/($B125-$B124)*($D$123-$B124)),0)</f>
        <v>0</v>
      </c>
    </row>
    <row r="126" spans="1:5">
      <c r="A126" s="358">
        <v>3</v>
      </c>
      <c r="B126" s="358">
        <v>1000</v>
      </c>
      <c r="C126" s="447">
        <v>38.8</v>
      </c>
      <c r="D126" s="383">
        <f t="shared" ref="D126:D141" si="23">IF(AND($D$123&lt;=B126,$D$123&gt;B125),1,0)</f>
        <v>0</v>
      </c>
      <c r="E126" s="373">
        <f t="shared" ref="E126:E141" si="24">IF($D126=1,(C125+(C126-C125)/($B126-$B125)*($D$123-$B125)),0)</f>
        <v>0</v>
      </c>
    </row>
    <row r="127" spans="1:5">
      <c r="A127" s="358">
        <v>4</v>
      </c>
      <c r="B127" s="358">
        <v>3000</v>
      </c>
      <c r="C127" s="447">
        <v>103.8</v>
      </c>
      <c r="D127" s="383">
        <f t="shared" si="23"/>
        <v>0</v>
      </c>
      <c r="E127" s="373">
        <f t="shared" si="24"/>
        <v>0</v>
      </c>
    </row>
    <row r="128" spans="1:5">
      <c r="A128" s="358">
        <v>5</v>
      </c>
      <c r="B128" s="358">
        <v>5000</v>
      </c>
      <c r="C128" s="447">
        <v>163.9</v>
      </c>
      <c r="D128" s="383">
        <f t="shared" si="23"/>
        <v>0</v>
      </c>
      <c r="E128" s="373">
        <f t="shared" si="24"/>
        <v>0</v>
      </c>
    </row>
    <row r="129" spans="1:5">
      <c r="A129" s="358">
        <v>6</v>
      </c>
      <c r="B129" s="358">
        <v>8000</v>
      </c>
      <c r="C129" s="447">
        <v>249.6</v>
      </c>
      <c r="D129" s="383">
        <f t="shared" si="23"/>
        <v>0</v>
      </c>
      <c r="E129" s="373">
        <f t="shared" si="24"/>
        <v>0</v>
      </c>
    </row>
    <row r="130" spans="1:5">
      <c r="A130" s="358">
        <v>7</v>
      </c>
      <c r="B130" s="358">
        <v>10000</v>
      </c>
      <c r="C130" s="447">
        <v>304.8</v>
      </c>
      <c r="D130" s="383">
        <f t="shared" si="23"/>
        <v>0</v>
      </c>
      <c r="E130" s="373">
        <f t="shared" si="24"/>
        <v>0</v>
      </c>
    </row>
    <row r="131" spans="1:5">
      <c r="A131" s="358">
        <v>8</v>
      </c>
      <c r="B131" s="358">
        <v>20000</v>
      </c>
      <c r="C131" s="447">
        <v>566.8</v>
      </c>
      <c r="D131" s="383">
        <f t="shared" si="23"/>
        <v>1</v>
      </c>
      <c r="E131" s="373">
        <f t="shared" si="24"/>
        <v>498.307436</v>
      </c>
    </row>
    <row r="132" spans="1:5">
      <c r="A132" s="358">
        <v>9</v>
      </c>
      <c r="B132" s="358">
        <v>40000</v>
      </c>
      <c r="C132" s="447">
        <v>1054</v>
      </c>
      <c r="D132" s="383">
        <f t="shared" si="23"/>
        <v>0</v>
      </c>
      <c r="E132" s="373">
        <f t="shared" si="24"/>
        <v>0</v>
      </c>
    </row>
    <row r="133" spans="1:5">
      <c r="A133" s="358">
        <v>10</v>
      </c>
      <c r="B133" s="358">
        <v>60000</v>
      </c>
      <c r="C133" s="447">
        <v>1515.2</v>
      </c>
      <c r="D133" s="383">
        <f t="shared" si="23"/>
        <v>0</v>
      </c>
      <c r="E133" s="373">
        <f t="shared" si="24"/>
        <v>0</v>
      </c>
    </row>
    <row r="134" spans="1:5">
      <c r="A134" s="358">
        <v>11</v>
      </c>
      <c r="B134" s="358">
        <v>80000</v>
      </c>
      <c r="C134" s="447">
        <v>1960.1</v>
      </c>
      <c r="D134" s="383">
        <f t="shared" si="23"/>
        <v>0</v>
      </c>
      <c r="E134" s="373">
        <f t="shared" si="24"/>
        <v>0</v>
      </c>
    </row>
    <row r="135" spans="1:5">
      <c r="A135" s="358">
        <v>12</v>
      </c>
      <c r="B135" s="358">
        <v>100000</v>
      </c>
      <c r="C135" s="447">
        <v>2393.4</v>
      </c>
      <c r="D135" s="383">
        <f t="shared" si="23"/>
        <v>0</v>
      </c>
      <c r="E135" s="373">
        <f t="shared" si="24"/>
        <v>0</v>
      </c>
    </row>
    <row r="136" spans="1:5">
      <c r="A136" s="358">
        <v>13</v>
      </c>
      <c r="B136" s="358">
        <v>200000</v>
      </c>
      <c r="C136" s="447">
        <v>4450.8</v>
      </c>
      <c r="D136" s="383">
        <f t="shared" si="23"/>
        <v>0</v>
      </c>
      <c r="E136" s="373">
        <f t="shared" si="24"/>
        <v>0</v>
      </c>
    </row>
    <row r="137" spans="1:5">
      <c r="A137" s="358">
        <v>14</v>
      </c>
      <c r="B137" s="358">
        <v>400000</v>
      </c>
      <c r="C137" s="447">
        <v>8276.7</v>
      </c>
      <c r="D137" s="383">
        <f t="shared" si="23"/>
        <v>0</v>
      </c>
      <c r="E137" s="373">
        <f t="shared" si="24"/>
        <v>0</v>
      </c>
    </row>
    <row r="138" spans="1:5">
      <c r="A138" s="358">
        <v>15</v>
      </c>
      <c r="B138" s="358">
        <v>600000</v>
      </c>
      <c r="C138" s="447">
        <v>11897.5</v>
      </c>
      <c r="D138" s="383">
        <f t="shared" si="23"/>
        <v>0</v>
      </c>
      <c r="E138" s="373">
        <f t="shared" si="24"/>
        <v>0</v>
      </c>
    </row>
    <row r="139" spans="1:5">
      <c r="A139" s="358">
        <v>16</v>
      </c>
      <c r="B139" s="358">
        <v>800000</v>
      </c>
      <c r="C139" s="447">
        <v>15391.4</v>
      </c>
      <c r="D139" s="383">
        <f t="shared" si="23"/>
        <v>0</v>
      </c>
      <c r="E139" s="373">
        <f t="shared" si="24"/>
        <v>0</v>
      </c>
    </row>
    <row r="140" spans="1:5">
      <c r="A140" s="358">
        <v>17</v>
      </c>
      <c r="B140" s="358">
        <v>1000000</v>
      </c>
      <c r="C140" s="447">
        <v>18793.8</v>
      </c>
      <c r="D140" s="383">
        <f t="shared" si="23"/>
        <v>0</v>
      </c>
      <c r="E140" s="373">
        <f t="shared" si="24"/>
        <v>0</v>
      </c>
    </row>
    <row r="141" spans="1:5">
      <c r="A141" s="358">
        <v>18</v>
      </c>
      <c r="B141" s="358">
        <v>2000000</v>
      </c>
      <c r="C141" s="447">
        <v>34948.9</v>
      </c>
      <c r="D141" s="383">
        <f t="shared" si="23"/>
        <v>0</v>
      </c>
      <c r="E141" s="373">
        <f t="shared" si="24"/>
        <v>0</v>
      </c>
    </row>
    <row r="142" spans="1:5">
      <c r="A142" s="358">
        <v>19</v>
      </c>
      <c r="B142" s="358"/>
      <c r="C142" s="358"/>
      <c r="D142" s="455">
        <f>IF(D123&gt;B141,1,0)</f>
        <v>0</v>
      </c>
      <c r="E142" s="456">
        <f>IF(D142=1,D123*1.6%,0)</f>
        <v>0</v>
      </c>
    </row>
    <row r="143" spans="1:5">
      <c r="A143" s="366"/>
      <c r="B143" s="366"/>
      <c r="C143" s="366"/>
      <c r="D143" s="457"/>
      <c r="E143" s="458"/>
    </row>
    <row r="144" spans="1:5">
      <c r="A144" s="366"/>
      <c r="B144" s="366"/>
      <c r="C144" s="366"/>
      <c r="D144" s="457"/>
      <c r="E144" s="458"/>
    </row>
    <row r="145" spans="1:5">
      <c r="A145" s="459" t="s">
        <v>236</v>
      </c>
      <c r="B145" s="460"/>
      <c r="C145" s="460"/>
      <c r="D145" s="460"/>
      <c r="E145" s="461"/>
    </row>
    <row r="146" ht="16.5" spans="1:5">
      <c r="A146" s="371" t="s">
        <v>0</v>
      </c>
      <c r="B146" s="371" t="s">
        <v>234</v>
      </c>
      <c r="C146" s="371" t="s">
        <v>235</v>
      </c>
      <c r="D146" s="371" t="s">
        <v>229</v>
      </c>
      <c r="E146" s="377" t="s">
        <v>194</v>
      </c>
    </row>
    <row r="147" spans="1:5">
      <c r="A147" s="358"/>
      <c r="B147" s="358"/>
      <c r="C147" s="358"/>
      <c r="D147" s="462">
        <f>C2</f>
        <v>17385.78</v>
      </c>
      <c r="E147" s="373">
        <f>SUM(E148:E164)</f>
        <v>347.7034344</v>
      </c>
    </row>
    <row r="148" spans="1:5">
      <c r="A148" s="358">
        <v>1</v>
      </c>
      <c r="B148" s="358">
        <v>500</v>
      </c>
      <c r="C148" s="447">
        <v>16.5</v>
      </c>
      <c r="D148" s="383">
        <f>IF(D147&lt;=B148,1,0)</f>
        <v>0</v>
      </c>
      <c r="E148" s="373">
        <f>IF(D148=1,(C148/B148*D147),0)</f>
        <v>0</v>
      </c>
    </row>
    <row r="149" spans="1:5">
      <c r="A149" s="358">
        <v>2</v>
      </c>
      <c r="B149" s="358">
        <v>1000</v>
      </c>
      <c r="C149" s="447">
        <v>30.1</v>
      </c>
      <c r="D149" s="383">
        <f>IF(AND($D$147&lt;=B149,$D$147&gt;B148),1,0)</f>
        <v>0</v>
      </c>
      <c r="E149" s="373">
        <f>IF($D149=1,(C148+(C149-C148)/($B149-$B148)*($D$147-$B148)),0)</f>
        <v>0</v>
      </c>
    </row>
    <row r="150" spans="1:5">
      <c r="A150" s="358">
        <v>3</v>
      </c>
      <c r="B150" s="358">
        <v>3000</v>
      </c>
      <c r="C150" s="447">
        <v>78.1</v>
      </c>
      <c r="D150" s="383">
        <f t="shared" ref="D150:D163" si="25">IF(AND($D$147&lt;=B150,$D$147&gt;B149),1,0)</f>
        <v>0</v>
      </c>
      <c r="E150" s="373">
        <f t="shared" ref="E150:E163" si="26">IF($D150=1,(C149+(C150-C149)/($B150-$B149)*($D$147-$B149)),0)</f>
        <v>0</v>
      </c>
    </row>
    <row r="151" spans="1:5">
      <c r="A151" s="358">
        <v>4</v>
      </c>
      <c r="B151" s="358">
        <v>5000</v>
      </c>
      <c r="C151" s="447">
        <v>120.8</v>
      </c>
      <c r="D151" s="383">
        <f t="shared" si="25"/>
        <v>0</v>
      </c>
      <c r="E151" s="373">
        <f t="shared" si="26"/>
        <v>0</v>
      </c>
    </row>
    <row r="152" spans="1:5">
      <c r="A152" s="358">
        <v>5</v>
      </c>
      <c r="B152" s="358">
        <v>8000</v>
      </c>
      <c r="C152" s="447">
        <v>181</v>
      </c>
      <c r="D152" s="383">
        <f t="shared" si="25"/>
        <v>0</v>
      </c>
      <c r="E152" s="373">
        <f t="shared" si="26"/>
        <v>0</v>
      </c>
    </row>
    <row r="153" spans="1:5">
      <c r="A153" s="358">
        <v>6</v>
      </c>
      <c r="B153" s="358">
        <v>10000</v>
      </c>
      <c r="C153" s="447">
        <v>218.6</v>
      </c>
      <c r="D153" s="383">
        <f t="shared" si="25"/>
        <v>0</v>
      </c>
      <c r="E153" s="373">
        <f t="shared" si="26"/>
        <v>0</v>
      </c>
    </row>
    <row r="154" spans="1:5">
      <c r="A154" s="358">
        <v>7</v>
      </c>
      <c r="B154" s="358">
        <v>20000</v>
      </c>
      <c r="C154" s="447">
        <v>393.4</v>
      </c>
      <c r="D154" s="383">
        <f t="shared" si="25"/>
        <v>1</v>
      </c>
      <c r="E154" s="373">
        <f t="shared" si="26"/>
        <v>347.7034344</v>
      </c>
    </row>
    <row r="155" spans="1:5">
      <c r="A155" s="358">
        <v>8</v>
      </c>
      <c r="B155" s="358">
        <v>40000</v>
      </c>
      <c r="C155" s="447">
        <v>708.2</v>
      </c>
      <c r="D155" s="383">
        <f t="shared" si="25"/>
        <v>0</v>
      </c>
      <c r="E155" s="373">
        <f t="shared" si="26"/>
        <v>0</v>
      </c>
    </row>
    <row r="156" spans="1:5">
      <c r="A156" s="358">
        <v>9</v>
      </c>
      <c r="B156" s="358">
        <v>60000</v>
      </c>
      <c r="C156" s="447">
        <v>991.4</v>
      </c>
      <c r="D156" s="383">
        <f t="shared" si="25"/>
        <v>0</v>
      </c>
      <c r="E156" s="373">
        <f t="shared" si="26"/>
        <v>0</v>
      </c>
    </row>
    <row r="157" spans="1:5">
      <c r="A157" s="358">
        <v>10</v>
      </c>
      <c r="B157" s="358">
        <v>80000</v>
      </c>
      <c r="C157" s="447">
        <v>1255.8</v>
      </c>
      <c r="D157" s="383">
        <f t="shared" si="25"/>
        <v>0</v>
      </c>
      <c r="E157" s="373">
        <f t="shared" si="26"/>
        <v>0</v>
      </c>
    </row>
    <row r="158" spans="1:5">
      <c r="A158" s="358">
        <v>11</v>
      </c>
      <c r="B158" s="358">
        <v>100000</v>
      </c>
      <c r="C158" s="447">
        <v>1507</v>
      </c>
      <c r="D158" s="383">
        <f t="shared" si="25"/>
        <v>0</v>
      </c>
      <c r="E158" s="373">
        <f t="shared" si="26"/>
        <v>0</v>
      </c>
    </row>
    <row r="159" spans="1:5">
      <c r="A159" s="358">
        <v>12</v>
      </c>
      <c r="B159" s="358">
        <v>200000</v>
      </c>
      <c r="C159" s="447">
        <v>2712.5</v>
      </c>
      <c r="D159" s="383">
        <f t="shared" si="25"/>
        <v>0</v>
      </c>
      <c r="E159" s="373">
        <f t="shared" si="26"/>
        <v>0</v>
      </c>
    </row>
    <row r="160" spans="1:5">
      <c r="A160" s="358">
        <v>13</v>
      </c>
      <c r="B160" s="358">
        <v>400000</v>
      </c>
      <c r="C160" s="447">
        <v>4882.6</v>
      </c>
      <c r="D160" s="383">
        <f t="shared" si="25"/>
        <v>0</v>
      </c>
      <c r="E160" s="373">
        <f t="shared" si="26"/>
        <v>0</v>
      </c>
    </row>
    <row r="161" spans="1:5">
      <c r="A161" s="358">
        <v>14</v>
      </c>
      <c r="B161" s="358">
        <v>600000</v>
      </c>
      <c r="C161" s="447">
        <v>6835.6</v>
      </c>
      <c r="D161" s="383">
        <f t="shared" si="25"/>
        <v>0</v>
      </c>
      <c r="E161" s="373">
        <f t="shared" si="26"/>
        <v>0</v>
      </c>
    </row>
    <row r="162" spans="1:5">
      <c r="A162" s="358">
        <v>15</v>
      </c>
      <c r="B162" s="358">
        <v>800000</v>
      </c>
      <c r="C162" s="447">
        <v>8658.4</v>
      </c>
      <c r="D162" s="383">
        <f t="shared" si="25"/>
        <v>0</v>
      </c>
      <c r="E162" s="373">
        <f t="shared" si="26"/>
        <v>0</v>
      </c>
    </row>
    <row r="163" spans="1:5">
      <c r="A163" s="358">
        <v>16</v>
      </c>
      <c r="B163" s="358">
        <v>1000000</v>
      </c>
      <c r="C163" s="447">
        <v>10390.1</v>
      </c>
      <c r="D163" s="383">
        <f t="shared" si="25"/>
        <v>0</v>
      </c>
      <c r="E163" s="373">
        <f t="shared" si="26"/>
        <v>0</v>
      </c>
    </row>
    <row r="164" spans="1:5">
      <c r="A164" s="358">
        <v>16</v>
      </c>
      <c r="B164" s="358"/>
      <c r="C164" s="358"/>
      <c r="D164" s="455">
        <f>IF(D147&gt;B163,1,0)</f>
        <v>0</v>
      </c>
      <c r="E164" s="456">
        <f>IF(D164=1,D147*C163/B163,0)</f>
        <v>0</v>
      </c>
    </row>
    <row r="167" spans="1:8">
      <c r="A167" s="463" t="s">
        <v>237</v>
      </c>
      <c r="B167" s="463"/>
      <c r="C167" s="463"/>
      <c r="D167" s="463"/>
      <c r="E167" s="463"/>
      <c r="F167" s="463"/>
      <c r="G167" s="463"/>
      <c r="H167" s="463"/>
    </row>
    <row r="168" ht="16.5" spans="1:8">
      <c r="A168" s="372" t="s">
        <v>228</v>
      </c>
      <c r="B168" s="372"/>
      <c r="C168" s="372"/>
      <c r="D168" s="372"/>
      <c r="E168" s="372"/>
      <c r="F168" s="372"/>
      <c r="G168" s="372" t="s">
        <v>229</v>
      </c>
      <c r="H168" s="372" t="s">
        <v>230</v>
      </c>
    </row>
    <row r="169" spans="1:8">
      <c r="A169" s="371" t="s">
        <v>0</v>
      </c>
      <c r="B169" s="371" t="s">
        <v>191</v>
      </c>
      <c r="C169" s="371"/>
      <c r="D169" s="371"/>
      <c r="E169" s="371" t="s">
        <v>231</v>
      </c>
      <c r="F169" s="371" t="s">
        <v>232</v>
      </c>
      <c r="G169" s="450">
        <f>C2</f>
        <v>17385.78</v>
      </c>
      <c r="H169" s="381">
        <f>SUM(H170:H176)</f>
        <v>127.166148</v>
      </c>
    </row>
    <row r="170" spans="1:9">
      <c r="A170" s="358">
        <v>1</v>
      </c>
      <c r="B170" s="358"/>
      <c r="C170" s="358" t="s">
        <v>195</v>
      </c>
      <c r="D170" s="358">
        <v>200</v>
      </c>
      <c r="E170" s="453">
        <v>0.0102</v>
      </c>
      <c r="F170" s="464">
        <f>E170*D170</f>
        <v>2.04</v>
      </c>
      <c r="G170" s="383">
        <f>IF($G$169&lt;=D170,1,0)</f>
        <v>0</v>
      </c>
      <c r="H170" s="373">
        <f>IF(G170=1,(G169*E170),0)</f>
        <v>0</v>
      </c>
      <c r="I170" s="469"/>
    </row>
    <row r="171" spans="1:9">
      <c r="A171" s="358">
        <v>2</v>
      </c>
      <c r="B171" s="358">
        <v>200</v>
      </c>
      <c r="C171" s="358" t="s">
        <v>196</v>
      </c>
      <c r="D171" s="358">
        <v>500</v>
      </c>
      <c r="E171" s="453">
        <v>0.0096</v>
      </c>
      <c r="F171" s="464">
        <f>F170+(D171-B171)*E171</f>
        <v>4.92</v>
      </c>
      <c r="G171" s="383">
        <f>IF(AND($G$169&lt;=D171,$G$169&gt;B171),1,0)</f>
        <v>0</v>
      </c>
      <c r="H171" s="373">
        <f>IF(G171=1,(F170+($G$169-D170)*E171),0)</f>
        <v>0</v>
      </c>
      <c r="I171" s="469"/>
    </row>
    <row r="172" spans="1:9">
      <c r="A172" s="358">
        <v>3</v>
      </c>
      <c r="B172" s="358">
        <v>500</v>
      </c>
      <c r="C172" s="358" t="s">
        <v>196</v>
      </c>
      <c r="D172" s="358">
        <v>1000</v>
      </c>
      <c r="E172" s="453">
        <v>0.009</v>
      </c>
      <c r="F172" s="464">
        <f t="shared" ref="F172:F175" si="27">F171+(D172-B172)*E172</f>
        <v>9.42</v>
      </c>
      <c r="G172" s="383">
        <f t="shared" ref="G172:G175" si="28">IF(AND($G$169&lt;=D172,$G$169&gt;B172),1,0)</f>
        <v>0</v>
      </c>
      <c r="H172" s="373">
        <f t="shared" ref="H172:H176" si="29">IF(G172=1,(F171+($G$169-D171)*E172),0)</f>
        <v>0</v>
      </c>
      <c r="I172" s="469"/>
    </row>
    <row r="173" spans="1:9">
      <c r="A173" s="358">
        <v>4</v>
      </c>
      <c r="B173" s="358">
        <v>1000</v>
      </c>
      <c r="C173" s="358" t="s">
        <v>196</v>
      </c>
      <c r="D173" s="358">
        <v>3000</v>
      </c>
      <c r="E173" s="453">
        <v>0.0084</v>
      </c>
      <c r="F173" s="464">
        <f t="shared" si="27"/>
        <v>26.22</v>
      </c>
      <c r="G173" s="383">
        <f t="shared" si="28"/>
        <v>0</v>
      </c>
      <c r="H173" s="373">
        <f t="shared" si="29"/>
        <v>0</v>
      </c>
      <c r="I173" s="469"/>
    </row>
    <row r="174" spans="1:9">
      <c r="A174" s="358">
        <v>5</v>
      </c>
      <c r="B174" s="358">
        <v>3000</v>
      </c>
      <c r="C174" s="358" t="s">
        <v>196</v>
      </c>
      <c r="D174" s="358">
        <v>6000</v>
      </c>
      <c r="E174" s="453">
        <v>0.0078</v>
      </c>
      <c r="F174" s="464">
        <f t="shared" si="27"/>
        <v>49.62</v>
      </c>
      <c r="G174" s="383">
        <f t="shared" si="28"/>
        <v>0</v>
      </c>
      <c r="H174" s="373">
        <f t="shared" si="29"/>
        <v>0</v>
      </c>
      <c r="I174" s="469"/>
    </row>
    <row r="175" spans="1:9">
      <c r="A175" s="358">
        <v>6</v>
      </c>
      <c r="B175" s="358">
        <v>6000</v>
      </c>
      <c r="C175" s="358" t="s">
        <v>196</v>
      </c>
      <c r="D175" s="358">
        <v>10000</v>
      </c>
      <c r="E175" s="453">
        <v>0.0072</v>
      </c>
      <c r="F175" s="464">
        <f t="shared" si="27"/>
        <v>78.42</v>
      </c>
      <c r="G175" s="383">
        <f t="shared" si="28"/>
        <v>0</v>
      </c>
      <c r="H175" s="373">
        <f t="shared" si="29"/>
        <v>0</v>
      </c>
      <c r="I175" s="469"/>
    </row>
    <row r="176" spans="1:8">
      <c r="A176" s="358">
        <v>7</v>
      </c>
      <c r="B176" s="358">
        <v>10000</v>
      </c>
      <c r="C176" s="384" t="s">
        <v>203</v>
      </c>
      <c r="D176" s="385"/>
      <c r="E176" s="465">
        <v>0.0066</v>
      </c>
      <c r="F176" s="464"/>
      <c r="G176" s="383">
        <f>IF(AND($G$169&gt;B176),1,0)</f>
        <v>1</v>
      </c>
      <c r="H176" s="373">
        <f t="shared" si="29"/>
        <v>127.166148</v>
      </c>
    </row>
    <row r="179" spans="1:8">
      <c r="A179" s="459" t="s">
        <v>238</v>
      </c>
      <c r="B179" s="460"/>
      <c r="C179" s="460"/>
      <c r="D179" s="460"/>
      <c r="E179" s="460"/>
      <c r="F179" s="460"/>
      <c r="G179" s="460"/>
      <c r="H179" s="461"/>
    </row>
    <row r="180" ht="16.5" spans="1:8">
      <c r="A180" s="371" t="s">
        <v>228</v>
      </c>
      <c r="B180" s="371"/>
      <c r="C180" s="371"/>
      <c r="D180" s="371"/>
      <c r="E180" s="371"/>
      <c r="F180" s="371"/>
      <c r="G180" s="371" t="s">
        <v>229</v>
      </c>
      <c r="H180" s="371" t="s">
        <v>230</v>
      </c>
    </row>
    <row r="181" spans="1:8">
      <c r="A181" s="371" t="s">
        <v>0</v>
      </c>
      <c r="B181" s="371" t="s">
        <v>191</v>
      </c>
      <c r="C181" s="371"/>
      <c r="D181" s="371"/>
      <c r="E181" s="371" t="s">
        <v>231</v>
      </c>
      <c r="F181" s="371" t="s">
        <v>232</v>
      </c>
      <c r="G181" s="466">
        <f>C2</f>
        <v>17385.78</v>
      </c>
      <c r="H181" s="381">
        <f>SUM(H182:H185)</f>
        <v>18.98578</v>
      </c>
    </row>
    <row r="182" spans="1:8">
      <c r="A182" s="358">
        <v>1</v>
      </c>
      <c r="B182" s="358"/>
      <c r="C182" s="358" t="s">
        <v>195</v>
      </c>
      <c r="D182" s="358">
        <v>500</v>
      </c>
      <c r="E182" s="467">
        <v>0.002</v>
      </c>
      <c r="F182" s="464">
        <f>E182*D182</f>
        <v>1</v>
      </c>
      <c r="G182" s="383">
        <f>IF($G$181&lt;=D182,1,0)</f>
        <v>0</v>
      </c>
      <c r="H182" s="373">
        <f>IF(G182=1,(G181*E182),0)</f>
        <v>0</v>
      </c>
    </row>
    <row r="183" spans="1:8">
      <c r="A183" s="358">
        <v>2</v>
      </c>
      <c r="B183" s="358">
        <v>500</v>
      </c>
      <c r="C183" s="358" t="s">
        <v>196</v>
      </c>
      <c r="D183" s="358">
        <v>1000</v>
      </c>
      <c r="E183" s="467">
        <v>0.0016</v>
      </c>
      <c r="F183" s="464">
        <f>F182+(D183-B183)*E183</f>
        <v>1.8</v>
      </c>
      <c r="G183" s="383">
        <f>IF(AND($G$181&lt;=D183,$G$181&gt;B183),1,0)</f>
        <v>0</v>
      </c>
      <c r="H183" s="373">
        <f>IF(G183=1,(F182+($G$181-D182)*E183),0)</f>
        <v>0</v>
      </c>
    </row>
    <row r="184" spans="1:8">
      <c r="A184" s="358">
        <v>3</v>
      </c>
      <c r="B184" s="358">
        <v>1000</v>
      </c>
      <c r="C184" s="358" t="s">
        <v>196</v>
      </c>
      <c r="D184" s="358">
        <v>5000</v>
      </c>
      <c r="E184" s="467">
        <v>0.0012</v>
      </c>
      <c r="F184" s="464">
        <f t="shared" ref="F184" si="30">F183+(D184-B184)*E184</f>
        <v>6.6</v>
      </c>
      <c r="G184" s="383">
        <f>IF(AND($G$181&lt;=D184,$G$181&gt;B184),1,0)</f>
        <v>0</v>
      </c>
      <c r="H184" s="373">
        <f>IF(G184=1,(F183+($G$181-D183)*E184),0)</f>
        <v>0</v>
      </c>
    </row>
    <row r="185" spans="1:8">
      <c r="A185" s="358">
        <v>4</v>
      </c>
      <c r="B185" s="358">
        <v>5000</v>
      </c>
      <c r="C185" s="384" t="s">
        <v>203</v>
      </c>
      <c r="D185" s="385"/>
      <c r="E185" s="468">
        <v>0.001</v>
      </c>
      <c r="F185" s="464"/>
      <c r="G185" s="383">
        <f>IF(AND($G$181&gt;B185),1,0)</f>
        <v>1</v>
      </c>
      <c r="H185" s="373">
        <f>IF(G185=1,(F184+($G$181-B185)*E185),0)</f>
        <v>18.98578</v>
      </c>
    </row>
    <row r="188" spans="1:7">
      <c r="A188" s="463" t="str">
        <f>工程建设其他费细则说明!B27</f>
        <v>水土保持评价费</v>
      </c>
      <c r="B188" s="463"/>
      <c r="C188" s="463"/>
      <c r="D188" s="463"/>
      <c r="E188" s="463"/>
      <c r="F188" s="463"/>
      <c r="G188" s="463"/>
    </row>
    <row r="189" ht="16.5" spans="1:8">
      <c r="A189" s="376" t="s">
        <v>0</v>
      </c>
      <c r="B189" s="392" t="s">
        <v>239</v>
      </c>
      <c r="C189" s="393"/>
      <c r="D189" s="394"/>
      <c r="E189" s="376" t="s">
        <v>192</v>
      </c>
      <c r="F189" s="371" t="s">
        <v>229</v>
      </c>
      <c r="G189" s="377" t="s">
        <v>194</v>
      </c>
      <c r="H189" s="354"/>
    </row>
    <row r="190" spans="1:8">
      <c r="A190" s="379"/>
      <c r="B190" s="395"/>
      <c r="C190" s="396"/>
      <c r="D190" s="397"/>
      <c r="E190" s="379"/>
      <c r="F190" s="381">
        <f>C2</f>
        <v>17385.78</v>
      </c>
      <c r="G190" s="371">
        <f>SUM(G191:G212)</f>
        <v>66.77156</v>
      </c>
      <c r="H190" s="354"/>
    </row>
    <row r="191" spans="1:8">
      <c r="A191" s="358">
        <v>1</v>
      </c>
      <c r="B191" s="358"/>
      <c r="C191" s="358" t="s">
        <v>203</v>
      </c>
      <c r="D191" s="358">
        <v>5000</v>
      </c>
      <c r="E191" s="358">
        <v>30</v>
      </c>
      <c r="F191" s="383">
        <f>IF(F190&lt;=D191,1,0)</f>
        <v>0</v>
      </c>
      <c r="G191" s="358">
        <f>IF(AND(F191=1,F190&gt;1),E191,0)</f>
        <v>0</v>
      </c>
      <c r="H191" s="354"/>
    </row>
    <row r="192" spans="1:8">
      <c r="A192" s="358">
        <v>2</v>
      </c>
      <c r="B192" s="358">
        <v>5000</v>
      </c>
      <c r="C192" s="358" t="s">
        <v>196</v>
      </c>
      <c r="D192" s="358">
        <v>10000</v>
      </c>
      <c r="E192" s="358">
        <v>52</v>
      </c>
      <c r="F192" s="383">
        <f>IF(AND($F$190&lt;=D192,$F$190&gt;B192),1,)</f>
        <v>0</v>
      </c>
      <c r="G192" s="358">
        <f>IF(F192=1,(E191+(E192-E191)/(D192-B192)*($F$190-B192)),0)</f>
        <v>0</v>
      </c>
      <c r="H192" s="354"/>
    </row>
    <row r="193" spans="1:8">
      <c r="A193" s="358">
        <v>3</v>
      </c>
      <c r="B193" s="358">
        <v>10000</v>
      </c>
      <c r="C193" s="358" t="s">
        <v>196</v>
      </c>
      <c r="D193" s="358">
        <v>20000</v>
      </c>
      <c r="E193" s="358">
        <v>72</v>
      </c>
      <c r="F193" s="383">
        <f t="shared" ref="F193:F211" si="31">IF(AND($F$190&lt;=D193,$F$190&gt;B193),1,)</f>
        <v>1</v>
      </c>
      <c r="G193" s="358">
        <f t="shared" ref="G193:G211" si="32">IF(F193=1,(E192+(E193-E192)/(D193-B193)*($F$190-B193)),0)</f>
        <v>66.77156</v>
      </c>
      <c r="H193" s="354"/>
    </row>
    <row r="194" spans="1:8">
      <c r="A194" s="358">
        <v>4</v>
      </c>
      <c r="B194" s="358">
        <v>20000</v>
      </c>
      <c r="C194" s="358" t="s">
        <v>196</v>
      </c>
      <c r="D194" s="358">
        <v>30000</v>
      </c>
      <c r="E194" s="358">
        <v>82</v>
      </c>
      <c r="F194" s="383">
        <f t="shared" si="31"/>
        <v>0</v>
      </c>
      <c r="G194" s="358">
        <f t="shared" si="32"/>
        <v>0</v>
      </c>
      <c r="H194" s="354"/>
    </row>
    <row r="195" spans="1:8">
      <c r="A195" s="358">
        <v>5</v>
      </c>
      <c r="B195" s="358">
        <v>30000</v>
      </c>
      <c r="C195" s="358" t="s">
        <v>196</v>
      </c>
      <c r="D195" s="358">
        <v>40000</v>
      </c>
      <c r="E195" s="358">
        <v>95</v>
      </c>
      <c r="F195" s="383">
        <f t="shared" si="31"/>
        <v>0</v>
      </c>
      <c r="G195" s="358">
        <f t="shared" si="32"/>
        <v>0</v>
      </c>
      <c r="H195" s="354"/>
    </row>
    <row r="196" spans="1:8">
      <c r="A196" s="358">
        <v>6</v>
      </c>
      <c r="B196" s="358">
        <v>40000</v>
      </c>
      <c r="C196" s="358" t="s">
        <v>196</v>
      </c>
      <c r="D196" s="358">
        <v>50000</v>
      </c>
      <c r="E196" s="358">
        <v>104</v>
      </c>
      <c r="F196" s="383">
        <f t="shared" si="31"/>
        <v>0</v>
      </c>
      <c r="G196" s="358">
        <f t="shared" si="32"/>
        <v>0</v>
      </c>
      <c r="H196" s="354"/>
    </row>
    <row r="197" spans="1:8">
      <c r="A197" s="358">
        <v>7</v>
      </c>
      <c r="B197" s="358">
        <v>50000</v>
      </c>
      <c r="C197" s="358" t="s">
        <v>196</v>
      </c>
      <c r="D197" s="358">
        <v>60000</v>
      </c>
      <c r="E197" s="358">
        <v>116</v>
      </c>
      <c r="F197" s="383">
        <f t="shared" si="31"/>
        <v>0</v>
      </c>
      <c r="G197" s="358">
        <f t="shared" si="32"/>
        <v>0</v>
      </c>
      <c r="H197" s="354"/>
    </row>
    <row r="198" spans="1:8">
      <c r="A198" s="358">
        <v>8</v>
      </c>
      <c r="B198" s="358">
        <v>60000</v>
      </c>
      <c r="C198" s="358" t="s">
        <v>196</v>
      </c>
      <c r="D198" s="358">
        <v>70000</v>
      </c>
      <c r="E198" s="358">
        <v>119</v>
      </c>
      <c r="F198" s="383">
        <f t="shared" si="31"/>
        <v>0</v>
      </c>
      <c r="G198" s="358">
        <f t="shared" si="32"/>
        <v>0</v>
      </c>
      <c r="H198" s="354"/>
    </row>
    <row r="199" spans="1:8">
      <c r="A199" s="358">
        <v>9</v>
      </c>
      <c r="B199" s="358">
        <v>70000</v>
      </c>
      <c r="C199" s="358" t="s">
        <v>196</v>
      </c>
      <c r="D199" s="358">
        <v>80000</v>
      </c>
      <c r="E199" s="358">
        <v>132</v>
      </c>
      <c r="F199" s="383">
        <f t="shared" si="31"/>
        <v>0</v>
      </c>
      <c r="G199" s="358">
        <f t="shared" si="32"/>
        <v>0</v>
      </c>
      <c r="H199" s="354"/>
    </row>
    <row r="200" spans="1:8">
      <c r="A200" s="358">
        <v>10</v>
      </c>
      <c r="B200" s="358">
        <v>80000</v>
      </c>
      <c r="C200" s="358" t="s">
        <v>196</v>
      </c>
      <c r="D200" s="358">
        <v>90000</v>
      </c>
      <c r="E200" s="358">
        <v>156</v>
      </c>
      <c r="F200" s="383">
        <f t="shared" si="31"/>
        <v>0</v>
      </c>
      <c r="G200" s="358">
        <f t="shared" si="32"/>
        <v>0</v>
      </c>
      <c r="H200" s="354"/>
    </row>
    <row r="201" spans="1:8">
      <c r="A201" s="358">
        <v>11</v>
      </c>
      <c r="B201" s="358">
        <v>90000</v>
      </c>
      <c r="C201" s="358" t="s">
        <v>196</v>
      </c>
      <c r="D201" s="358">
        <v>100000</v>
      </c>
      <c r="E201" s="358">
        <v>171</v>
      </c>
      <c r="F201" s="383">
        <f t="shared" si="31"/>
        <v>0</v>
      </c>
      <c r="G201" s="358">
        <f t="shared" si="32"/>
        <v>0</v>
      </c>
      <c r="H201" s="354"/>
    </row>
    <row r="202" spans="1:8">
      <c r="A202" s="358">
        <v>12</v>
      </c>
      <c r="B202" s="358">
        <v>100000</v>
      </c>
      <c r="C202" s="358" t="s">
        <v>196</v>
      </c>
      <c r="D202" s="358">
        <v>110000</v>
      </c>
      <c r="E202" s="358">
        <v>185</v>
      </c>
      <c r="F202" s="383">
        <f t="shared" si="31"/>
        <v>0</v>
      </c>
      <c r="G202" s="358">
        <f t="shared" si="32"/>
        <v>0</v>
      </c>
      <c r="H202" s="354"/>
    </row>
    <row r="203" spans="1:8">
      <c r="A203" s="358">
        <v>13</v>
      </c>
      <c r="B203" s="358">
        <v>110000</v>
      </c>
      <c r="C203" s="358" t="s">
        <v>196</v>
      </c>
      <c r="D203" s="358">
        <v>120000</v>
      </c>
      <c r="E203" s="358">
        <v>200</v>
      </c>
      <c r="F203" s="383">
        <f t="shared" si="31"/>
        <v>0</v>
      </c>
      <c r="G203" s="358">
        <f t="shared" si="32"/>
        <v>0</v>
      </c>
      <c r="H203" s="354"/>
    </row>
    <row r="204" spans="1:8">
      <c r="A204" s="358">
        <v>14</v>
      </c>
      <c r="B204" s="358">
        <v>120000</v>
      </c>
      <c r="C204" s="358" t="s">
        <v>196</v>
      </c>
      <c r="D204" s="358">
        <v>130000</v>
      </c>
      <c r="E204" s="358">
        <v>220</v>
      </c>
      <c r="F204" s="383">
        <f t="shared" si="31"/>
        <v>0</v>
      </c>
      <c r="G204" s="358">
        <f t="shared" si="32"/>
        <v>0</v>
      </c>
      <c r="H204" s="354"/>
    </row>
    <row r="205" spans="1:8">
      <c r="A205" s="358">
        <v>15</v>
      </c>
      <c r="B205" s="358">
        <v>130000</v>
      </c>
      <c r="C205" s="358" t="s">
        <v>196</v>
      </c>
      <c r="D205" s="358">
        <v>140000</v>
      </c>
      <c r="E205" s="358">
        <v>230</v>
      </c>
      <c r="F205" s="383">
        <f t="shared" si="31"/>
        <v>0</v>
      </c>
      <c r="G205" s="358">
        <f t="shared" si="32"/>
        <v>0</v>
      </c>
      <c r="H205" s="354"/>
    </row>
    <row r="206" spans="1:8">
      <c r="A206" s="358">
        <v>16</v>
      </c>
      <c r="B206" s="358">
        <v>140000</v>
      </c>
      <c r="C206" s="358" t="s">
        <v>196</v>
      </c>
      <c r="D206" s="358">
        <v>150000</v>
      </c>
      <c r="E206" s="358">
        <v>245</v>
      </c>
      <c r="F206" s="383">
        <f t="shared" si="31"/>
        <v>0</v>
      </c>
      <c r="G206" s="358">
        <f t="shared" si="32"/>
        <v>0</v>
      </c>
      <c r="H206" s="354"/>
    </row>
    <row r="207" spans="1:8">
      <c r="A207" s="358">
        <v>17</v>
      </c>
      <c r="B207" s="358">
        <v>150000</v>
      </c>
      <c r="C207" s="358" t="s">
        <v>196</v>
      </c>
      <c r="D207" s="358">
        <v>160000</v>
      </c>
      <c r="E207" s="358">
        <v>259</v>
      </c>
      <c r="F207" s="383">
        <f t="shared" si="31"/>
        <v>0</v>
      </c>
      <c r="G207" s="358">
        <f t="shared" si="32"/>
        <v>0</v>
      </c>
      <c r="H207" s="354"/>
    </row>
    <row r="208" spans="1:8">
      <c r="A208" s="358">
        <v>18</v>
      </c>
      <c r="B208" s="358">
        <v>160000</v>
      </c>
      <c r="C208" s="358" t="s">
        <v>196</v>
      </c>
      <c r="D208" s="358">
        <v>170000</v>
      </c>
      <c r="E208" s="358">
        <v>270</v>
      </c>
      <c r="F208" s="383">
        <f t="shared" si="31"/>
        <v>0</v>
      </c>
      <c r="G208" s="358">
        <f t="shared" si="32"/>
        <v>0</v>
      </c>
      <c r="H208" s="354"/>
    </row>
    <row r="209" spans="1:8">
      <c r="A209" s="358">
        <v>19</v>
      </c>
      <c r="B209" s="358">
        <v>170000</v>
      </c>
      <c r="C209" s="358" t="s">
        <v>196</v>
      </c>
      <c r="D209" s="358">
        <v>180000</v>
      </c>
      <c r="E209" s="358">
        <v>290</v>
      </c>
      <c r="F209" s="383">
        <f t="shared" si="31"/>
        <v>0</v>
      </c>
      <c r="G209" s="358">
        <f t="shared" si="32"/>
        <v>0</v>
      </c>
      <c r="H209" s="354"/>
    </row>
    <row r="210" spans="1:8">
      <c r="A210" s="358">
        <v>20</v>
      </c>
      <c r="B210" s="358">
        <v>180000</v>
      </c>
      <c r="C210" s="358" t="s">
        <v>196</v>
      </c>
      <c r="D210" s="358">
        <v>190000</v>
      </c>
      <c r="E210" s="358">
        <v>320</v>
      </c>
      <c r="F210" s="383">
        <f t="shared" si="31"/>
        <v>0</v>
      </c>
      <c r="G210" s="358">
        <f t="shared" si="32"/>
        <v>0</v>
      </c>
      <c r="H210" s="354"/>
    </row>
    <row r="211" spans="1:8">
      <c r="A211" s="358">
        <v>21</v>
      </c>
      <c r="B211" s="358">
        <v>190000</v>
      </c>
      <c r="C211" s="358" t="s">
        <v>196</v>
      </c>
      <c r="D211" s="358">
        <v>200000</v>
      </c>
      <c r="E211" s="358">
        <v>350</v>
      </c>
      <c r="F211" s="383">
        <f t="shared" si="31"/>
        <v>0</v>
      </c>
      <c r="G211" s="358">
        <f t="shared" si="32"/>
        <v>0</v>
      </c>
      <c r="H211" s="354"/>
    </row>
    <row r="212" spans="1:8">
      <c r="A212" s="358">
        <v>22</v>
      </c>
      <c r="B212" s="358">
        <v>200000</v>
      </c>
      <c r="C212" s="358" t="s">
        <v>203</v>
      </c>
      <c r="D212" s="358"/>
      <c r="E212" s="470"/>
      <c r="F212" s="383">
        <f>IF(F190&gt;B212,1,0)</f>
        <v>0</v>
      </c>
      <c r="G212" s="358">
        <f>IF(F212=1,E211/B212*F190,0)</f>
        <v>0</v>
      </c>
      <c r="H212" s="354"/>
    </row>
    <row r="213" spans="1:7">
      <c r="A213" s="471" t="s">
        <v>240</v>
      </c>
      <c r="B213" s="472"/>
      <c r="C213" s="472"/>
      <c r="D213" s="472"/>
      <c r="E213" s="472"/>
      <c r="F213" s="472"/>
      <c r="G213" s="473"/>
    </row>
    <row r="216" spans="1:8">
      <c r="A216" s="463" t="s">
        <v>241</v>
      </c>
      <c r="B216" s="463"/>
      <c r="C216" s="463"/>
      <c r="D216" s="463"/>
      <c r="E216" s="463"/>
      <c r="F216" s="463"/>
      <c r="G216" s="463"/>
      <c r="H216" s="463"/>
    </row>
    <row r="217" ht="16.5" spans="1:8">
      <c r="A217" s="376" t="s">
        <v>0</v>
      </c>
      <c r="B217" s="392" t="s">
        <v>242</v>
      </c>
      <c r="C217" s="393"/>
      <c r="D217" s="394"/>
      <c r="E217" s="376" t="s">
        <v>192</v>
      </c>
      <c r="F217" s="376" t="s">
        <v>231</v>
      </c>
      <c r="G217" s="371" t="s">
        <v>229</v>
      </c>
      <c r="H217" s="377" t="s">
        <v>194</v>
      </c>
    </row>
    <row r="218" spans="1:8">
      <c r="A218" s="379"/>
      <c r="B218" s="395"/>
      <c r="C218" s="396"/>
      <c r="D218" s="397"/>
      <c r="E218" s="379"/>
      <c r="F218" s="379"/>
      <c r="G218" s="381">
        <f>C2</f>
        <v>17385.78</v>
      </c>
      <c r="H218" s="371">
        <f>SUM(H219:H222)</f>
        <v>7.2925115</v>
      </c>
    </row>
    <row r="219" spans="1:8">
      <c r="A219" s="358">
        <v>1</v>
      </c>
      <c r="B219" s="358"/>
      <c r="C219" s="358" t="s">
        <v>203</v>
      </c>
      <c r="D219" s="358">
        <v>10000</v>
      </c>
      <c r="E219" s="358">
        <v>6</v>
      </c>
      <c r="F219" s="358"/>
      <c r="G219" s="383">
        <f>IF(G218&lt;=D219,1,0)</f>
        <v>0</v>
      </c>
      <c r="H219" s="358">
        <f>IF(AND(G219=1,G218&gt;0),E219,0)</f>
        <v>0</v>
      </c>
    </row>
    <row r="220" spans="1:8">
      <c r="A220" s="358">
        <v>2</v>
      </c>
      <c r="B220" s="358">
        <v>10000</v>
      </c>
      <c r="C220" s="358" t="s">
        <v>196</v>
      </c>
      <c r="D220" s="358">
        <v>50000</v>
      </c>
      <c r="E220" s="358">
        <v>13</v>
      </c>
      <c r="F220" s="474">
        <v>0.000175</v>
      </c>
      <c r="G220" s="383">
        <f>IF(AND(G$218&lt;=D220,G$218&gt;B220),1,0)</f>
        <v>1</v>
      </c>
      <c r="H220" s="358">
        <f>IF(G220=1,(E219+($G$218-B220)*F220),0)</f>
        <v>7.2925115</v>
      </c>
    </row>
    <row r="221" spans="1:8">
      <c r="A221" s="358">
        <v>3</v>
      </c>
      <c r="B221" s="358">
        <v>50000</v>
      </c>
      <c r="C221" s="358" t="s">
        <v>196</v>
      </c>
      <c r="D221" s="358">
        <v>100000</v>
      </c>
      <c r="E221" s="358">
        <v>20</v>
      </c>
      <c r="F221" s="475">
        <v>0.00014</v>
      </c>
      <c r="G221" s="383">
        <f>IF(AND(G$218&lt;=D221,G$218&gt;B221),1,0)</f>
        <v>0</v>
      </c>
      <c r="H221" s="358">
        <f>IF(G221=1,(E220+($G$218-B221)*F221),0)</f>
        <v>0</v>
      </c>
    </row>
    <row r="222" spans="1:8">
      <c r="A222" s="358">
        <v>4</v>
      </c>
      <c r="B222" s="358">
        <v>100000</v>
      </c>
      <c r="C222" s="358" t="s">
        <v>203</v>
      </c>
      <c r="D222" s="358"/>
      <c r="E222" s="358"/>
      <c r="F222" s="358"/>
      <c r="G222" s="383">
        <f>IF(G218&gt;B222,1,0)</f>
        <v>0</v>
      </c>
      <c r="H222" s="358">
        <f>IF(G222=1,E221,0)</f>
        <v>0</v>
      </c>
    </row>
    <row r="223" spans="1:8">
      <c r="A223" s="449" t="s">
        <v>243</v>
      </c>
      <c r="B223" s="449"/>
      <c r="C223" s="449"/>
      <c r="D223" s="449"/>
      <c r="E223" s="449"/>
      <c r="F223" s="449"/>
      <c r="G223" s="449"/>
      <c r="H223" s="449"/>
    </row>
  </sheetData>
  <sheetProtection selectLockedCells="1"/>
  <protectedRanges>
    <protectedRange sqref="A9:L29" name="区域1"/>
  </protectedRanges>
  <mergeCells count="105">
    <mergeCell ref="E9:F9"/>
    <mergeCell ref="G9:H9"/>
    <mergeCell ref="G10:H10"/>
    <mergeCell ref="I10:J10"/>
    <mergeCell ref="K10:L10"/>
    <mergeCell ref="A32:G32"/>
    <mergeCell ref="I32:K32"/>
    <mergeCell ref="L32:M32"/>
    <mergeCell ref="N32:O32"/>
    <mergeCell ref="P32:Q32"/>
    <mergeCell ref="R32:S32"/>
    <mergeCell ref="T32:U32"/>
    <mergeCell ref="I33:K33"/>
    <mergeCell ref="L33:M33"/>
    <mergeCell ref="N33:O33"/>
    <mergeCell ref="P33:Q33"/>
    <mergeCell ref="R33:S33"/>
    <mergeCell ref="T33:U33"/>
    <mergeCell ref="V39:W39"/>
    <mergeCell ref="L40:M40"/>
    <mergeCell ref="N40:O40"/>
    <mergeCell ref="P40:Q40"/>
    <mergeCell ref="R40:S40"/>
    <mergeCell ref="T40:U40"/>
    <mergeCell ref="V40:W40"/>
    <mergeCell ref="L41:M41"/>
    <mergeCell ref="N41:O41"/>
    <mergeCell ref="P41:Q41"/>
    <mergeCell ref="R41:S41"/>
    <mergeCell ref="T41:U41"/>
    <mergeCell ref="L42:M42"/>
    <mergeCell ref="N42:O42"/>
    <mergeCell ref="P42:Q42"/>
    <mergeCell ref="R42:S42"/>
    <mergeCell ref="T42:U42"/>
    <mergeCell ref="A44:R44"/>
    <mergeCell ref="D45:F45"/>
    <mergeCell ref="G45:I45"/>
    <mergeCell ref="J45:L45"/>
    <mergeCell ref="M45:O45"/>
    <mergeCell ref="P45:R45"/>
    <mergeCell ref="D46:F46"/>
    <mergeCell ref="G46:I46"/>
    <mergeCell ref="J46:L46"/>
    <mergeCell ref="M46:O46"/>
    <mergeCell ref="P46:R46"/>
    <mergeCell ref="A57:C57"/>
    <mergeCell ref="D57:F57"/>
    <mergeCell ref="G57:I57"/>
    <mergeCell ref="J57:L57"/>
    <mergeCell ref="M57:O57"/>
    <mergeCell ref="P57:R57"/>
    <mergeCell ref="A61:G61"/>
    <mergeCell ref="A73:I73"/>
    <mergeCell ref="A82:I82"/>
    <mergeCell ref="A85:G85"/>
    <mergeCell ref="A99:J99"/>
    <mergeCell ref="A107:J107"/>
    <mergeCell ref="A110:H110"/>
    <mergeCell ref="A111:F111"/>
    <mergeCell ref="B112:D112"/>
    <mergeCell ref="A121:E121"/>
    <mergeCell ref="A145:E145"/>
    <mergeCell ref="A167:H167"/>
    <mergeCell ref="A168:E168"/>
    <mergeCell ref="B169:D169"/>
    <mergeCell ref="A179:H179"/>
    <mergeCell ref="A180:E180"/>
    <mergeCell ref="B181:D181"/>
    <mergeCell ref="A188:G188"/>
    <mergeCell ref="A213:G213"/>
    <mergeCell ref="A216:H216"/>
    <mergeCell ref="A223:H223"/>
    <mergeCell ref="A10:A11"/>
    <mergeCell ref="A33:A34"/>
    <mergeCell ref="A62:A64"/>
    <mergeCell ref="A74:A75"/>
    <mergeCell ref="A86:A87"/>
    <mergeCell ref="A100:A101"/>
    <mergeCell ref="A189:A190"/>
    <mergeCell ref="A217:A218"/>
    <mergeCell ref="B10:B11"/>
    <mergeCell ref="C10:C11"/>
    <mergeCell ref="D10:D11"/>
    <mergeCell ref="E10:E11"/>
    <mergeCell ref="E33:E34"/>
    <mergeCell ref="E63:E64"/>
    <mergeCell ref="E74:E75"/>
    <mergeCell ref="E86:E87"/>
    <mergeCell ref="E100:E101"/>
    <mergeCell ref="E189:E190"/>
    <mergeCell ref="E217:E218"/>
    <mergeCell ref="F10:F11"/>
    <mergeCell ref="F62:F63"/>
    <mergeCell ref="F100:F101"/>
    <mergeCell ref="F217:F218"/>
    <mergeCell ref="I170:I175"/>
    <mergeCell ref="A45:C46"/>
    <mergeCell ref="B74:D75"/>
    <mergeCell ref="B86:D87"/>
    <mergeCell ref="B62:D64"/>
    <mergeCell ref="B33:D34"/>
    <mergeCell ref="B217:D218"/>
    <mergeCell ref="B100:D101"/>
    <mergeCell ref="B189:D190"/>
  </mergeCells>
  <dataValidations count="1">
    <dataValidation type="list" allowBlank="1" showInputMessage="1" showErrorMessage="1" sqref="B7:B8">
      <formula1>"南昌市,红谷滩区,南昌县"</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68"/>
  <sheetViews>
    <sheetView tabSelected="1" zoomScale="85" zoomScaleNormal="85" topLeftCell="B1" workbookViewId="0">
      <selection activeCell="B9" sqref="B9:H23"/>
    </sheetView>
  </sheetViews>
  <sheetFormatPr defaultColWidth="8.66666666666667" defaultRowHeight="14"/>
  <cols>
    <col min="1" max="1" width="18.4416666666667" style="153" customWidth="1"/>
    <col min="2" max="2" width="10.6666666666667" style="153" customWidth="1"/>
    <col min="3" max="3" width="24.8916666666667" style="153" customWidth="1"/>
    <col min="4" max="4" width="12.6666666666667" style="153" customWidth="1"/>
    <col min="5" max="5" width="13.775" style="153" customWidth="1"/>
    <col min="6" max="6" width="13.4416666666667" style="153" customWidth="1"/>
    <col min="7" max="7" width="12.775" style="153" customWidth="1"/>
    <col min="8" max="8" width="13" style="153" customWidth="1"/>
    <col min="9" max="9" width="9.66666666666667" style="153" customWidth="1"/>
    <col min="10" max="10" width="10.4416666666667" style="153" customWidth="1"/>
    <col min="11" max="11" width="13.8916666666667" style="153" customWidth="1"/>
    <col min="12" max="12" width="16.1083333333333" style="153" customWidth="1"/>
    <col min="13" max="13" width="15.8916666666667" style="153" customWidth="1"/>
    <col min="14" max="14" width="18.3333333333333" style="153" customWidth="1"/>
    <col min="15" max="15" width="13.8916666666667" style="153" customWidth="1"/>
    <col min="16" max="16" width="8.66666666666667" style="153"/>
    <col min="17" max="17" width="14.1083333333333" style="153" customWidth="1"/>
    <col min="18" max="18" width="12.8916666666667" style="153" customWidth="1"/>
    <col min="19" max="16384" width="8.66666666666667" style="153"/>
  </cols>
  <sheetData>
    <row r="1" spans="2:11">
      <c r="B1" s="320" t="s">
        <v>244</v>
      </c>
      <c r="C1" s="321">
        <v>45108.9</v>
      </c>
      <c r="D1" s="320" t="s">
        <v>245</v>
      </c>
      <c r="F1" s="322" t="s">
        <v>246</v>
      </c>
      <c r="G1" s="322" t="s">
        <v>247</v>
      </c>
      <c r="H1" s="322" t="s">
        <v>248</v>
      </c>
      <c r="J1" s="347"/>
      <c r="K1" s="348" t="s">
        <v>249</v>
      </c>
    </row>
    <row r="2" spans="2:11">
      <c r="B2" s="320" t="s">
        <v>250</v>
      </c>
      <c r="C2" s="321">
        <v>45535</v>
      </c>
      <c r="D2" s="1">
        <f>(YEAR(C2)-YEAR(C1))*12</f>
        <v>12</v>
      </c>
      <c r="F2" s="323" t="s">
        <v>251</v>
      </c>
      <c r="G2" s="324">
        <f>G4-G3</f>
        <v>13000</v>
      </c>
      <c r="H2" s="325">
        <f>G2/$G$4</f>
        <v>0.590909090909091</v>
      </c>
      <c r="J2" s="349"/>
      <c r="K2" s="350" t="s">
        <v>252</v>
      </c>
    </row>
    <row r="3" spans="2:11">
      <c r="B3" s="326" t="s">
        <v>253</v>
      </c>
      <c r="C3" s="326" t="s">
        <v>254</v>
      </c>
      <c r="D3" s="326" t="s">
        <v>255</v>
      </c>
      <c r="F3" s="327" t="s">
        <v>256</v>
      </c>
      <c r="G3" s="324">
        <v>9000</v>
      </c>
      <c r="H3" s="325">
        <f>G3/$G$4</f>
        <v>0.409090909090909</v>
      </c>
      <c r="J3" s="350"/>
      <c r="K3" s="350"/>
    </row>
    <row r="4" ht="15" spans="2:11">
      <c r="B4" s="320" t="s">
        <v>257</v>
      </c>
      <c r="C4" s="328">
        <f>C1</f>
        <v>45108.9</v>
      </c>
      <c r="D4" s="328">
        <f>EOMONTH(C4,11)</f>
        <v>45473</v>
      </c>
      <c r="F4" s="327" t="s">
        <v>19</v>
      </c>
      <c r="G4" s="324">
        <f>总投资估算!G95</f>
        <v>22000</v>
      </c>
      <c r="H4" s="325">
        <f>G4/$G$4</f>
        <v>1</v>
      </c>
      <c r="J4" s="350"/>
      <c r="K4" s="350"/>
    </row>
    <row r="5" ht="15" spans="2:4">
      <c r="B5" s="320" t="s">
        <v>258</v>
      </c>
      <c r="C5" s="328">
        <f>EOMONTH(D4,1)</f>
        <v>45504</v>
      </c>
      <c r="D5" s="328">
        <f>EOMONTH(C5,11)</f>
        <v>45838</v>
      </c>
    </row>
    <row r="6" ht="15" spans="2:4">
      <c r="B6" s="320" t="s">
        <v>259</v>
      </c>
      <c r="C6" s="328">
        <f>EOMONTH(D5,1)</f>
        <v>45869</v>
      </c>
      <c r="D6" s="328">
        <f>C2</f>
        <v>45535</v>
      </c>
    </row>
    <row r="7" ht="15" customHeight="1" spans="2:2">
      <c r="B7" s="329"/>
    </row>
    <row r="8" spans="2:8">
      <c r="B8" s="330" t="s">
        <v>260</v>
      </c>
      <c r="C8" s="330"/>
      <c r="D8" s="330"/>
      <c r="E8" s="330"/>
      <c r="F8" s="330"/>
      <c r="G8" s="330"/>
      <c r="H8" s="330"/>
    </row>
    <row r="9" spans="2:9">
      <c r="B9" s="331" t="s">
        <v>0</v>
      </c>
      <c r="C9" s="331" t="s">
        <v>261</v>
      </c>
      <c r="D9" s="331" t="s">
        <v>189</v>
      </c>
      <c r="E9" s="332" t="s">
        <v>262</v>
      </c>
      <c r="F9" s="333"/>
      <c r="G9" s="333"/>
      <c r="H9" s="334"/>
      <c r="I9" s="153" t="s">
        <v>263</v>
      </c>
    </row>
    <row r="10" spans="2:8">
      <c r="B10" s="331"/>
      <c r="C10" s="331"/>
      <c r="D10" s="331"/>
      <c r="E10" s="335">
        <v>2025</v>
      </c>
      <c r="F10" s="335">
        <v>2026</v>
      </c>
      <c r="G10" s="335">
        <f>F10+1</f>
        <v>2027</v>
      </c>
      <c r="H10" s="335">
        <f>G10+1</f>
        <v>2028</v>
      </c>
    </row>
    <row r="11" spans="2:8">
      <c r="B11" s="336" t="s">
        <v>5</v>
      </c>
      <c r="C11" s="337" t="s">
        <v>264</v>
      </c>
      <c r="D11" s="337"/>
      <c r="E11" s="338"/>
      <c r="F11" s="338"/>
      <c r="G11" s="338"/>
      <c r="H11" s="338"/>
    </row>
    <row r="12" spans="2:14">
      <c r="B12" s="339">
        <v>1</v>
      </c>
      <c r="C12" s="340" t="s">
        <v>265</v>
      </c>
      <c r="D12" s="341">
        <f>SUM(E12:H12)</f>
        <v>1</v>
      </c>
      <c r="E12" s="342">
        <v>0.6</v>
      </c>
      <c r="F12" s="342">
        <v>0.4</v>
      </c>
      <c r="G12" s="342">
        <f>1-F12-E12</f>
        <v>0</v>
      </c>
      <c r="H12" s="342">
        <v>0</v>
      </c>
      <c r="I12" s="351">
        <f>SUM(E12:H12)</f>
        <v>1</v>
      </c>
      <c r="M12" s="352"/>
      <c r="N12" s="353"/>
    </row>
    <row r="13" spans="2:9">
      <c r="B13" s="339">
        <v>2</v>
      </c>
      <c r="C13" s="340" t="s">
        <v>266</v>
      </c>
      <c r="D13" s="341">
        <f>SUM(E13:H13)</f>
        <v>1</v>
      </c>
      <c r="E13" s="342">
        <v>0.6</v>
      </c>
      <c r="F13" s="342">
        <v>0.4</v>
      </c>
      <c r="G13" s="342">
        <f>1-F13-E13</f>
        <v>0</v>
      </c>
      <c r="H13" s="342">
        <v>0</v>
      </c>
      <c r="I13" s="351">
        <f t="shared" ref="I13:I23" si="0">SUM(E13:H13)</f>
        <v>1</v>
      </c>
    </row>
    <row r="14" spans="2:9">
      <c r="B14" s="339">
        <v>3</v>
      </c>
      <c r="C14" s="340" t="s">
        <v>267</v>
      </c>
      <c r="D14" s="341">
        <f t="shared" ref="D14" si="1">SUM(E14:H14)</f>
        <v>1</v>
      </c>
      <c r="E14" s="342">
        <v>1</v>
      </c>
      <c r="F14" s="342">
        <v>0</v>
      </c>
      <c r="G14" s="342">
        <f>1-F14-E14</f>
        <v>0</v>
      </c>
      <c r="H14" s="342">
        <v>0</v>
      </c>
      <c r="I14" s="351">
        <f t="shared" si="0"/>
        <v>1</v>
      </c>
    </row>
    <row r="15" spans="2:10">
      <c r="B15" s="337" t="s">
        <v>17</v>
      </c>
      <c r="C15" s="337" t="s">
        <v>19</v>
      </c>
      <c r="D15" s="343">
        <f>D16+D20</f>
        <v>22000</v>
      </c>
      <c r="E15" s="343">
        <f>E16+E20</f>
        <v>13173.01</v>
      </c>
      <c r="F15" s="343">
        <f t="shared" ref="F15:H15" si="2">F16+F20</f>
        <v>8826.99</v>
      </c>
      <c r="G15" s="343"/>
      <c r="H15" s="343">
        <f t="shared" si="2"/>
        <v>0</v>
      </c>
      <c r="I15" s="266">
        <f t="shared" si="0"/>
        <v>22000</v>
      </c>
      <c r="J15" s="153">
        <f>I15-D15</f>
        <v>0</v>
      </c>
    </row>
    <row r="16" spans="2:10">
      <c r="B16" s="344">
        <v>1</v>
      </c>
      <c r="C16" s="340" t="s">
        <v>268</v>
      </c>
      <c r="D16" s="345">
        <f>SUM(E16:H16)</f>
        <v>21730</v>
      </c>
      <c r="E16" s="345">
        <f>E17+E18+E19</f>
        <v>13038.01</v>
      </c>
      <c r="F16" s="345">
        <f t="shared" ref="F16:H16" si="3">F17+F18+F19</f>
        <v>8691.99</v>
      </c>
      <c r="G16" s="345">
        <f t="shared" si="3"/>
        <v>0</v>
      </c>
      <c r="H16" s="345">
        <f t="shared" si="3"/>
        <v>0</v>
      </c>
      <c r="I16" s="266">
        <f t="shared" si="0"/>
        <v>21730</v>
      </c>
      <c r="J16" s="153">
        <f t="shared" ref="J16:J23" si="4">I16-D16</f>
        <v>0</v>
      </c>
    </row>
    <row r="17" spans="2:10">
      <c r="B17" s="344">
        <v>1.1</v>
      </c>
      <c r="C17" s="340" t="s">
        <v>22</v>
      </c>
      <c r="D17" s="345">
        <f>总投资估算!G3</f>
        <v>17385.78</v>
      </c>
      <c r="E17" s="345">
        <f>ROUND($D$17*E12,2)</f>
        <v>10431.47</v>
      </c>
      <c r="F17" s="345">
        <f>ROUND($D$17*F12,2)</f>
        <v>6954.31</v>
      </c>
      <c r="G17" s="345">
        <f>ROUND($D$17*G12,2)</f>
        <v>0</v>
      </c>
      <c r="H17" s="345">
        <f>ROUND($D$17*H12,2)</f>
        <v>0</v>
      </c>
      <c r="I17" s="266">
        <f t="shared" si="0"/>
        <v>17385.78</v>
      </c>
      <c r="J17" s="153">
        <f t="shared" si="4"/>
        <v>0</v>
      </c>
    </row>
    <row r="18" spans="2:10">
      <c r="B18" s="344">
        <v>1.2</v>
      </c>
      <c r="C18" s="340" t="s">
        <v>269</v>
      </c>
      <c r="D18" s="345">
        <f>总投资估算!G70</f>
        <v>2754.06</v>
      </c>
      <c r="E18" s="345">
        <f>ROUND($D$18*E13,2)</f>
        <v>1652.44</v>
      </c>
      <c r="F18" s="345">
        <f>ROUND($D$18*F13,2)</f>
        <v>1101.62</v>
      </c>
      <c r="G18" s="345">
        <f>ROUND($D$18*G13,2)</f>
        <v>0</v>
      </c>
      <c r="H18" s="345">
        <f>ROUND($D$18*H13,2)</f>
        <v>0</v>
      </c>
      <c r="I18" s="266">
        <f t="shared" si="0"/>
        <v>2754.06</v>
      </c>
      <c r="J18" s="153">
        <f t="shared" si="4"/>
        <v>0</v>
      </c>
    </row>
    <row r="19" spans="2:10">
      <c r="B19" s="344">
        <v>1.3</v>
      </c>
      <c r="C19" s="340" t="s">
        <v>28</v>
      </c>
      <c r="D19" s="345">
        <f>总投资估算!G90</f>
        <v>1590.16</v>
      </c>
      <c r="E19" s="345">
        <f>ROUND($D$19*E12,2)</f>
        <v>954.1</v>
      </c>
      <c r="F19" s="345">
        <f>ROUND($D$19*F12,2)</f>
        <v>636.06</v>
      </c>
      <c r="G19" s="345">
        <f>ROUND($D$19*G12,2)</f>
        <v>0</v>
      </c>
      <c r="H19" s="345">
        <f>ROUND($D$19*H12,2)</f>
        <v>0</v>
      </c>
      <c r="I19" s="266">
        <f t="shared" si="0"/>
        <v>1590.16</v>
      </c>
      <c r="J19" s="153">
        <f t="shared" si="4"/>
        <v>0</v>
      </c>
    </row>
    <row r="20" spans="2:10">
      <c r="B20" s="346">
        <v>2</v>
      </c>
      <c r="C20" s="340" t="s">
        <v>29</v>
      </c>
      <c r="D20" s="345">
        <f>SUM(E20:H20)</f>
        <v>270</v>
      </c>
      <c r="E20" s="345">
        <f>E23*0.03*0.5</f>
        <v>135</v>
      </c>
      <c r="F20" s="345">
        <f>E23*0.03*0.5+F23*0.03</f>
        <v>135</v>
      </c>
      <c r="G20" s="345">
        <v>0</v>
      </c>
      <c r="H20" s="345">
        <v>0</v>
      </c>
      <c r="I20" s="266">
        <f t="shared" si="0"/>
        <v>270</v>
      </c>
      <c r="J20" s="153">
        <f t="shared" si="4"/>
        <v>0</v>
      </c>
    </row>
    <row r="21" spans="2:10">
      <c r="B21" s="337" t="s">
        <v>161</v>
      </c>
      <c r="C21" s="337" t="s">
        <v>30</v>
      </c>
      <c r="D21" s="343">
        <f>D22+D23</f>
        <v>22000</v>
      </c>
      <c r="E21" s="343">
        <f>E15</f>
        <v>13173.01</v>
      </c>
      <c r="F21" s="343">
        <f t="shared" ref="F21:H21" si="5">F15</f>
        <v>8826.99</v>
      </c>
      <c r="G21" s="343">
        <f t="shared" si="5"/>
        <v>0</v>
      </c>
      <c r="H21" s="343">
        <f t="shared" si="5"/>
        <v>0</v>
      </c>
      <c r="I21" s="266">
        <f t="shared" si="0"/>
        <v>22000</v>
      </c>
      <c r="J21" s="153">
        <f t="shared" si="4"/>
        <v>0</v>
      </c>
    </row>
    <row r="22" spans="2:10">
      <c r="B22" s="346">
        <v>1</v>
      </c>
      <c r="C22" s="340" t="s">
        <v>270</v>
      </c>
      <c r="D22" s="345">
        <f>G2</f>
        <v>13000</v>
      </c>
      <c r="E22" s="345">
        <f>E21-E23</f>
        <v>4173.01</v>
      </c>
      <c r="F22" s="345">
        <f t="shared" ref="F22:H22" si="6">F21-F23</f>
        <v>8826.99</v>
      </c>
      <c r="G22" s="345">
        <f t="shared" si="6"/>
        <v>0</v>
      </c>
      <c r="H22" s="345">
        <f t="shared" si="6"/>
        <v>0</v>
      </c>
      <c r="I22" s="266">
        <f t="shared" si="0"/>
        <v>13000</v>
      </c>
      <c r="J22" s="153">
        <f t="shared" si="4"/>
        <v>0</v>
      </c>
    </row>
    <row r="23" spans="2:10">
      <c r="B23" s="346">
        <v>2</v>
      </c>
      <c r="C23" s="340" t="s">
        <v>271</v>
      </c>
      <c r="D23" s="345">
        <f>G3</f>
        <v>9000</v>
      </c>
      <c r="E23" s="345">
        <f>D23*E14</f>
        <v>9000</v>
      </c>
      <c r="F23" s="345">
        <v>0</v>
      </c>
      <c r="G23" s="345">
        <f>$D$23*G14</f>
        <v>0</v>
      </c>
      <c r="H23" s="345">
        <f>$D$23*H14</f>
        <v>0</v>
      </c>
      <c r="I23" s="266">
        <f t="shared" si="0"/>
        <v>9000</v>
      </c>
      <c r="J23" s="153">
        <f t="shared" si="4"/>
        <v>0</v>
      </c>
    </row>
    <row r="25" spans="2:8">
      <c r="B25" s="221"/>
      <c r="C25" s="221"/>
      <c r="D25" s="221"/>
      <c r="E25" s="221"/>
      <c r="F25" s="221"/>
      <c r="G25" s="221"/>
      <c r="H25" s="221"/>
    </row>
    <row r="26" spans="2:8">
      <c r="B26" s="221"/>
      <c r="C26" s="221"/>
      <c r="D26" s="221"/>
      <c r="E26" s="221"/>
      <c r="F26" s="221"/>
      <c r="G26" s="221"/>
      <c r="H26" s="221"/>
    </row>
    <row r="27" spans="2:8">
      <c r="B27" s="221"/>
      <c r="C27" s="221"/>
      <c r="D27" s="221"/>
      <c r="E27" s="221"/>
      <c r="F27" s="221"/>
      <c r="G27" s="221"/>
      <c r="H27" s="221"/>
    </row>
    <row r="28" spans="2:8">
      <c r="B28" s="221"/>
      <c r="C28" s="221"/>
      <c r="D28" s="221"/>
      <c r="E28" s="221"/>
      <c r="F28" s="221"/>
      <c r="G28" s="221"/>
      <c r="H28" s="221"/>
    </row>
    <row r="29" spans="2:8">
      <c r="B29" s="221"/>
      <c r="C29" s="221"/>
      <c r="D29" s="221"/>
      <c r="E29" s="221"/>
      <c r="F29" s="221"/>
      <c r="G29" s="221"/>
      <c r="H29" s="221"/>
    </row>
    <row r="30" spans="2:8">
      <c r="B30" s="221"/>
      <c r="C30" s="221"/>
      <c r="D30" s="221"/>
      <c r="E30" s="221"/>
      <c r="F30" s="221"/>
      <c r="G30" s="221"/>
      <c r="H30" s="221"/>
    </row>
    <row r="31" spans="2:8">
      <c r="B31" s="221"/>
      <c r="C31" s="221"/>
      <c r="D31" s="221"/>
      <c r="E31" s="221"/>
      <c r="F31" s="221"/>
      <c r="G31" s="221"/>
      <c r="H31" s="221"/>
    </row>
    <row r="32" spans="2:8">
      <c r="B32" s="221"/>
      <c r="C32" s="221"/>
      <c r="D32" s="221"/>
      <c r="E32" s="221"/>
      <c r="F32" s="221"/>
      <c r="G32" s="221"/>
      <c r="H32" s="221"/>
    </row>
    <row r="33" spans="2:8">
      <c r="B33" s="221"/>
      <c r="C33" s="221"/>
      <c r="D33" s="221"/>
      <c r="E33" s="221"/>
      <c r="F33" s="221"/>
      <c r="G33" s="221"/>
      <c r="H33" s="221"/>
    </row>
    <row r="34" spans="2:8">
      <c r="B34" s="221"/>
      <c r="C34" s="221"/>
      <c r="D34" s="221"/>
      <c r="E34" s="221"/>
      <c r="F34" s="221"/>
      <c r="G34" s="221"/>
      <c r="H34" s="221"/>
    </row>
    <row r="35" spans="2:8">
      <c r="B35" s="221"/>
      <c r="C35" s="221"/>
      <c r="D35" s="221"/>
      <c r="E35" s="221"/>
      <c r="F35" s="221"/>
      <c r="G35" s="221"/>
      <c r="H35" s="221"/>
    </row>
    <row r="36" spans="2:8">
      <c r="B36" s="221"/>
      <c r="C36" s="221"/>
      <c r="D36" s="221"/>
      <c r="E36" s="221"/>
      <c r="F36" s="221"/>
      <c r="G36" s="221"/>
      <c r="H36" s="221"/>
    </row>
    <row r="37" spans="2:8">
      <c r="B37" s="221"/>
      <c r="C37" s="221"/>
      <c r="D37" s="221"/>
      <c r="E37" s="221"/>
      <c r="F37" s="221"/>
      <c r="G37" s="221"/>
      <c r="H37" s="221"/>
    </row>
    <row r="38" spans="2:8">
      <c r="B38" s="221"/>
      <c r="C38" s="221"/>
      <c r="D38" s="221"/>
      <c r="E38" s="221"/>
      <c r="F38" s="221"/>
      <c r="G38" s="221"/>
      <c r="H38" s="221"/>
    </row>
    <row r="39" spans="2:8">
      <c r="B39" s="221"/>
      <c r="C39" s="221"/>
      <c r="D39" s="221"/>
      <c r="E39" s="221"/>
      <c r="F39" s="221"/>
      <c r="G39" s="221"/>
      <c r="H39" s="221"/>
    </row>
    <row r="40" spans="2:8">
      <c r="B40" s="221"/>
      <c r="C40" s="221"/>
      <c r="D40" s="221"/>
      <c r="E40" s="221"/>
      <c r="F40" s="221"/>
      <c r="G40" s="221"/>
      <c r="H40" s="221"/>
    </row>
    <row r="41" spans="2:8">
      <c r="B41" s="221"/>
      <c r="C41" s="221"/>
      <c r="D41" s="221"/>
      <c r="E41" s="221"/>
      <c r="F41" s="221"/>
      <c r="G41" s="221"/>
      <c r="H41" s="221"/>
    </row>
    <row r="42" spans="2:8">
      <c r="B42" s="221"/>
      <c r="C42" s="221"/>
      <c r="D42" s="221"/>
      <c r="E42" s="221"/>
      <c r="F42" s="221"/>
      <c r="G42" s="221"/>
      <c r="H42" s="221"/>
    </row>
    <row r="43" spans="2:8">
      <c r="B43" s="221"/>
      <c r="C43" s="221"/>
      <c r="D43" s="221"/>
      <c r="E43" s="221"/>
      <c r="F43" s="221"/>
      <c r="G43" s="221"/>
      <c r="H43" s="221"/>
    </row>
    <row r="44" spans="2:8">
      <c r="B44" s="221"/>
      <c r="C44" s="221"/>
      <c r="D44" s="221"/>
      <c r="E44" s="221"/>
      <c r="F44" s="221"/>
      <c r="G44" s="221"/>
      <c r="H44" s="221"/>
    </row>
    <row r="45" spans="2:8">
      <c r="B45" s="221"/>
      <c r="C45" s="221"/>
      <c r="D45" s="221"/>
      <c r="E45" s="221"/>
      <c r="F45" s="221"/>
      <c r="G45" s="221"/>
      <c r="H45" s="221"/>
    </row>
    <row r="46" spans="2:8">
      <c r="B46" s="221"/>
      <c r="C46" s="221"/>
      <c r="D46" s="221"/>
      <c r="E46" s="221"/>
      <c r="F46" s="221"/>
      <c r="G46" s="221"/>
      <c r="H46" s="221"/>
    </row>
    <row r="47" spans="2:8">
      <c r="B47" s="221"/>
      <c r="C47" s="221"/>
      <c r="D47" s="221"/>
      <c r="E47" s="221"/>
      <c r="F47" s="221"/>
      <c r="G47" s="221"/>
      <c r="H47" s="221"/>
    </row>
    <row r="48" spans="2:8">
      <c r="B48" s="221"/>
      <c r="C48" s="221"/>
      <c r="D48" s="221"/>
      <c r="E48" s="221"/>
      <c r="F48" s="221"/>
      <c r="G48" s="221"/>
      <c r="H48" s="221"/>
    </row>
    <row r="49" spans="2:8">
      <c r="B49" s="221"/>
      <c r="C49" s="221"/>
      <c r="D49" s="221"/>
      <c r="E49" s="221"/>
      <c r="F49" s="221"/>
      <c r="G49" s="221"/>
      <c r="H49" s="221"/>
    </row>
    <row r="50" spans="2:8">
      <c r="B50" s="221"/>
      <c r="C50" s="221"/>
      <c r="D50" s="221"/>
      <c r="E50" s="221"/>
      <c r="F50" s="221"/>
      <c r="G50" s="221"/>
      <c r="H50" s="221"/>
    </row>
    <row r="51" spans="2:8">
      <c r="B51" s="221"/>
      <c r="C51" s="221"/>
      <c r="D51" s="221"/>
      <c r="E51" s="221"/>
      <c r="F51" s="221"/>
      <c r="G51" s="221"/>
      <c r="H51" s="221"/>
    </row>
    <row r="52" spans="2:8">
      <c r="B52" s="221"/>
      <c r="C52" s="221"/>
      <c r="D52" s="221"/>
      <c r="E52" s="221"/>
      <c r="F52" s="221"/>
      <c r="G52" s="221"/>
      <c r="H52" s="221"/>
    </row>
    <row r="53" spans="2:8">
      <c r="B53" s="221"/>
      <c r="C53" s="221"/>
      <c r="D53" s="221"/>
      <c r="E53" s="221"/>
      <c r="F53" s="221"/>
      <c r="G53" s="221"/>
      <c r="H53" s="221"/>
    </row>
    <row r="54" spans="2:8">
      <c r="B54" s="221"/>
      <c r="C54" s="221"/>
      <c r="D54" s="221"/>
      <c r="E54" s="221"/>
      <c r="F54" s="221"/>
      <c r="G54" s="221"/>
      <c r="H54" s="221"/>
    </row>
    <row r="55" spans="2:8">
      <c r="B55" s="221"/>
      <c r="C55" s="221"/>
      <c r="D55" s="221"/>
      <c r="E55" s="221"/>
      <c r="F55" s="221"/>
      <c r="G55" s="221"/>
      <c r="H55" s="221"/>
    </row>
    <row r="56" spans="2:8">
      <c r="B56" s="221"/>
      <c r="C56" s="221"/>
      <c r="D56" s="221"/>
      <c r="E56" s="221"/>
      <c r="F56" s="221"/>
      <c r="G56" s="221"/>
      <c r="H56" s="221"/>
    </row>
    <row r="57" spans="2:8">
      <c r="B57" s="221"/>
      <c r="C57" s="221"/>
      <c r="D57" s="221"/>
      <c r="E57" s="221"/>
      <c r="F57" s="221"/>
      <c r="G57" s="221"/>
      <c r="H57" s="221"/>
    </row>
    <row r="58" spans="2:8">
      <c r="B58" s="221"/>
      <c r="C58" s="221"/>
      <c r="D58" s="221"/>
      <c r="E58" s="221"/>
      <c r="F58" s="221"/>
      <c r="G58" s="221"/>
      <c r="H58" s="221"/>
    </row>
    <row r="59" spans="2:8">
      <c r="B59" s="221"/>
      <c r="C59" s="221"/>
      <c r="D59" s="221"/>
      <c r="E59" s="221"/>
      <c r="F59" s="221"/>
      <c r="G59" s="221"/>
      <c r="H59" s="221"/>
    </row>
    <row r="60" spans="2:8">
      <c r="B60" s="221"/>
      <c r="C60" s="221"/>
      <c r="D60" s="221"/>
      <c r="E60" s="221"/>
      <c r="F60" s="221"/>
      <c r="G60" s="221"/>
      <c r="H60" s="221"/>
    </row>
    <row r="61" spans="2:8">
      <c r="B61" s="221"/>
      <c r="C61" s="221"/>
      <c r="D61" s="221"/>
      <c r="E61" s="221"/>
      <c r="F61" s="221"/>
      <c r="G61" s="221"/>
      <c r="H61" s="221"/>
    </row>
    <row r="62" spans="2:8">
      <c r="B62" s="221"/>
      <c r="C62" s="221"/>
      <c r="D62" s="221"/>
      <c r="E62" s="221"/>
      <c r="F62" s="221"/>
      <c r="G62" s="221"/>
      <c r="H62" s="221"/>
    </row>
    <row r="63" spans="2:8">
      <c r="B63" s="221"/>
      <c r="C63" s="221"/>
      <c r="D63" s="221"/>
      <c r="E63" s="221"/>
      <c r="F63" s="221"/>
      <c r="G63" s="221"/>
      <c r="H63" s="221"/>
    </row>
    <row r="64" spans="2:8">
      <c r="B64" s="221"/>
      <c r="C64" s="221"/>
      <c r="D64" s="221"/>
      <c r="E64" s="221"/>
      <c r="F64" s="221"/>
      <c r="G64" s="221"/>
      <c r="H64" s="221"/>
    </row>
    <row r="65" spans="2:8">
      <c r="B65" s="221"/>
      <c r="C65" s="221"/>
      <c r="D65" s="221"/>
      <c r="E65" s="221"/>
      <c r="F65" s="221"/>
      <c r="G65" s="221"/>
      <c r="H65" s="221"/>
    </row>
    <row r="66" spans="2:8">
      <c r="B66" s="221"/>
      <c r="C66" s="221"/>
      <c r="D66" s="221"/>
      <c r="E66" s="221"/>
      <c r="F66" s="221"/>
      <c r="G66" s="221"/>
      <c r="H66" s="221"/>
    </row>
    <row r="67" spans="2:8">
      <c r="B67" s="221"/>
      <c r="C67" s="221"/>
      <c r="D67" s="221"/>
      <c r="E67" s="221"/>
      <c r="F67" s="221"/>
      <c r="G67" s="221"/>
      <c r="H67" s="221"/>
    </row>
    <row r="68" spans="2:8">
      <c r="B68" s="221"/>
      <c r="C68" s="221"/>
      <c r="D68" s="221"/>
      <c r="E68" s="221"/>
      <c r="F68" s="221"/>
      <c r="G68" s="221"/>
      <c r="H68" s="221"/>
    </row>
  </sheetData>
  <mergeCells count="5">
    <mergeCell ref="B8:H8"/>
    <mergeCell ref="E9:H9"/>
    <mergeCell ref="B9:B10"/>
    <mergeCell ref="C9:C10"/>
    <mergeCell ref="D9:D10"/>
  </mergeCells>
  <conditionalFormatting sqref="E22">
    <cfRule type="cellIs" dxfId="2" priority="11" operator="lessThan">
      <formula>$E$20</formula>
    </cfRule>
  </conditionalFormatting>
  <conditionalFormatting sqref="G22">
    <cfRule type="cellIs" dxfId="1" priority="9" operator="lessThan">
      <formula>$G$20</formula>
    </cfRule>
  </conditionalFormatting>
  <conditionalFormatting sqref="H22">
    <cfRule type="cellIs" dxfId="1" priority="8" operator="lessThan">
      <formula>$H$20</formula>
    </cfRule>
  </conditionalFormatting>
  <conditionalFormatting sqref="E23:H23">
    <cfRule type="expression" dxfId="3" priority="3">
      <formula>AND(E23&lt;1000,E23&gt;0)</formula>
    </cfRule>
  </conditionalFormatting>
  <conditionalFormatting sqref="I12:I14">
    <cfRule type="cellIs" dxfId="4" priority="2" operator="notEqual">
      <formula>1</formula>
    </cfRule>
  </conditionalFormatting>
  <conditionalFormatting sqref="I15:I23">
    <cfRule type="cellIs" dxfId="4" priority="1" operator="notEqual">
      <formula>D15</formula>
    </cfRule>
  </conditionalFormatting>
  <pageMargins left="0.7" right="0.7" top="0.75" bottom="0.75" header="0.3" footer="0.3"/>
  <pageSetup paperSize="9" orientation="portrait"/>
  <headerFooter/>
  <ignoredErrors>
    <ignoredError sqref="D15" 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
  <sheetViews>
    <sheetView topLeftCell="A19" workbookViewId="0">
      <selection activeCell="I29" sqref="I29"/>
    </sheetView>
  </sheetViews>
  <sheetFormatPr defaultColWidth="9" defaultRowHeight="13"/>
  <cols>
    <col min="1" max="1" width="27.225" style="283" customWidth="1"/>
    <col min="2" max="2" width="19.3333333333333" style="283" customWidth="1"/>
    <col min="3" max="3" width="31.1083333333333" style="283" customWidth="1"/>
    <col min="4" max="9" width="15.225" style="283" customWidth="1"/>
    <col min="10" max="16384" width="9" style="283"/>
  </cols>
  <sheetData>
    <row r="1" ht="23.25" customHeight="1" spans="1:3">
      <c r="A1" s="284" t="s">
        <v>272</v>
      </c>
      <c r="B1" s="285" t="s">
        <v>273</v>
      </c>
      <c r="C1" s="286" t="s">
        <v>274</v>
      </c>
    </row>
    <row r="2" ht="23.25" customHeight="1" spans="1:1">
      <c r="A2" s="284" t="s">
        <v>275</v>
      </c>
    </row>
    <row r="3" ht="23.25" customHeight="1" spans="1:1">
      <c r="A3" s="284" t="s">
        <v>276</v>
      </c>
    </row>
    <row r="4" ht="23.25" customHeight="1" spans="1:2">
      <c r="A4" s="287" t="s">
        <v>277</v>
      </c>
      <c r="B4" s="288" t="s">
        <v>278</v>
      </c>
    </row>
    <row r="5" ht="23.25" customHeight="1" spans="1:3">
      <c r="A5" s="287" t="s">
        <v>279</v>
      </c>
      <c r="B5" s="289">
        <f>DATEDIF(B6,B7+1,"M")</f>
        <v>14</v>
      </c>
      <c r="C5" s="290" t="s">
        <v>280</v>
      </c>
    </row>
    <row r="6" ht="23.25" customHeight="1" spans="1:3">
      <c r="A6" s="287" t="s">
        <v>281</v>
      </c>
      <c r="B6" s="291">
        <f>分年计划及建设期利息!C1</f>
        <v>45108.9</v>
      </c>
      <c r="C6" s="283" t="s">
        <v>282</v>
      </c>
    </row>
    <row r="7" ht="23.25" customHeight="1" spans="1:6">
      <c r="A7" s="287" t="s">
        <v>283</v>
      </c>
      <c r="B7" s="292">
        <f>分年计划及建设期利息!C2</f>
        <v>45535</v>
      </c>
      <c r="C7" s="283" t="s">
        <v>282</v>
      </c>
      <c r="D7" s="293">
        <f>(B7-B6)/30-B5</f>
        <v>0.203333333333285</v>
      </c>
      <c r="E7" s="290" t="s">
        <v>284</v>
      </c>
      <c r="F7" s="290" t="s">
        <v>285</v>
      </c>
    </row>
    <row r="9" ht="23.25" customHeight="1" spans="1:1">
      <c r="A9" s="284" t="s">
        <v>286</v>
      </c>
    </row>
    <row r="10" ht="23.25" customHeight="1" spans="1:5">
      <c r="A10" s="287" t="s">
        <v>287</v>
      </c>
      <c r="B10" s="289">
        <f>B5</f>
        <v>14</v>
      </c>
      <c r="C10" s="290" t="s">
        <v>280</v>
      </c>
      <c r="D10" s="293">
        <f>B10-B5</f>
        <v>0</v>
      </c>
      <c r="E10" s="283" t="s">
        <v>288</v>
      </c>
    </row>
    <row r="11" ht="23.25" customHeight="1" spans="1:10">
      <c r="A11" s="287" t="s">
        <v>289</v>
      </c>
      <c r="B11" s="292">
        <f>B6</f>
        <v>45108.9</v>
      </c>
      <c r="C11" s="283" t="s">
        <v>282</v>
      </c>
      <c r="D11" s="293">
        <f>B11-B6</f>
        <v>0</v>
      </c>
      <c r="E11" s="294" t="s">
        <v>290</v>
      </c>
      <c r="F11" s="295" t="s">
        <v>291</v>
      </c>
      <c r="G11" s="295"/>
      <c r="H11" s="295"/>
      <c r="I11" s="295"/>
      <c r="J11" s="295"/>
    </row>
    <row r="12" ht="23.25" customHeight="1" spans="1:10">
      <c r="A12" s="287" t="s">
        <v>292</v>
      </c>
      <c r="B12" s="291">
        <f>B7</f>
        <v>45535</v>
      </c>
      <c r="C12" s="283" t="s">
        <v>282</v>
      </c>
      <c r="D12" s="293">
        <f>B12-B7</f>
        <v>0</v>
      </c>
      <c r="E12" s="294" t="s">
        <v>293</v>
      </c>
      <c r="F12" s="295"/>
      <c r="G12" s="295"/>
      <c r="H12" s="295"/>
      <c r="I12" s="295"/>
      <c r="J12" s="295"/>
    </row>
    <row r="13" ht="23.25" customHeight="1" spans="1:9">
      <c r="A13" s="296" t="s">
        <v>294</v>
      </c>
      <c r="B13" s="297">
        <f>分年计划及建设期利息!D17</f>
        <v>17385.78</v>
      </c>
      <c r="C13" s="298">
        <f>B13-B24</f>
        <v>0</v>
      </c>
      <c r="D13" s="290" t="s">
        <v>295</v>
      </c>
      <c r="E13" s="290" t="s">
        <v>296</v>
      </c>
      <c r="F13" s="299"/>
      <c r="G13" s="299"/>
      <c r="H13" s="299"/>
      <c r="I13" s="299"/>
    </row>
    <row r="14" ht="23.25" customHeight="1" spans="1:9">
      <c r="A14" s="296" t="s">
        <v>297</v>
      </c>
      <c r="B14" s="297">
        <f>分年计划及建设期利息!D18</f>
        <v>2754.06</v>
      </c>
      <c r="C14" s="298">
        <f>B14-B25</f>
        <v>0</v>
      </c>
      <c r="D14" s="290" t="s">
        <v>298</v>
      </c>
      <c r="E14" s="290" t="s">
        <v>296</v>
      </c>
      <c r="F14" s="299"/>
      <c r="G14" s="299"/>
      <c r="H14" s="299"/>
      <c r="I14" s="299"/>
    </row>
    <row r="15" ht="23.25" customHeight="1" spans="1:9">
      <c r="A15" s="296" t="s">
        <v>299</v>
      </c>
      <c r="B15" s="297">
        <f>分年计划及建设期利息!D19</f>
        <v>1590.16</v>
      </c>
      <c r="C15" s="298">
        <f>B15-B26</f>
        <v>0</v>
      </c>
      <c r="D15" s="290" t="s">
        <v>300</v>
      </c>
      <c r="E15" s="290" t="s">
        <v>296</v>
      </c>
      <c r="F15" s="299"/>
      <c r="G15" s="299"/>
      <c r="H15" s="299"/>
      <c r="I15" s="299"/>
    </row>
    <row r="16" ht="23.25" customHeight="1" spans="1:9">
      <c r="A16" s="296" t="s">
        <v>301</v>
      </c>
      <c r="B16" s="297">
        <f>分年计划及建设期利息!D20</f>
        <v>270</v>
      </c>
      <c r="C16" s="298">
        <f>B16-B27</f>
        <v>0</v>
      </c>
      <c r="D16" s="300" t="s">
        <v>302</v>
      </c>
      <c r="E16" s="290" t="s">
        <v>296</v>
      </c>
      <c r="F16" s="299"/>
      <c r="G16" s="299"/>
      <c r="H16" s="299"/>
      <c r="I16" s="299"/>
    </row>
    <row r="17" ht="23.25" customHeight="1" spans="1:9">
      <c r="A17" s="296" t="s">
        <v>189</v>
      </c>
      <c r="B17" s="301">
        <f>SUM(B13:B16)</f>
        <v>22000</v>
      </c>
      <c r="C17" s="298">
        <f>B17-B28</f>
        <v>0</v>
      </c>
      <c r="D17" s="290" t="s">
        <v>303</v>
      </c>
      <c r="E17" s="290" t="s">
        <v>296</v>
      </c>
      <c r="F17" s="299"/>
      <c r="G17" s="299"/>
      <c r="H17" s="299"/>
      <c r="I17" s="299"/>
    </row>
    <row r="19" ht="23.25" customHeight="1" spans="1:1">
      <c r="A19" s="284" t="s">
        <v>304</v>
      </c>
    </row>
    <row r="20" ht="23.25" customHeight="1" spans="1:2">
      <c r="A20" s="287" t="s">
        <v>305</v>
      </c>
      <c r="B20" s="288"/>
    </row>
    <row r="21" ht="23.25" customHeight="1" spans="1:5">
      <c r="A21" s="287" t="s">
        <v>306</v>
      </c>
      <c r="B21" s="297">
        <f>B22</f>
        <v>22000</v>
      </c>
      <c r="C21" s="293">
        <f>B21-B22</f>
        <v>0</v>
      </c>
      <c r="D21" s="290" t="s">
        <v>307</v>
      </c>
      <c r="E21" s="290" t="s">
        <v>296</v>
      </c>
    </row>
    <row r="22" ht="23.25" customHeight="1" spans="1:5">
      <c r="A22" s="287" t="s">
        <v>308</v>
      </c>
      <c r="B22" s="297">
        <f>总投资估算!G95</f>
        <v>22000</v>
      </c>
      <c r="C22" s="302">
        <f>B28-B22</f>
        <v>0</v>
      </c>
      <c r="D22" s="290" t="s">
        <v>309</v>
      </c>
      <c r="E22" s="290" t="s">
        <v>296</v>
      </c>
    </row>
    <row r="23" s="282" customFormat="1" ht="23.25" customHeight="1" spans="1:9">
      <c r="A23" s="303" t="s">
        <v>310</v>
      </c>
      <c r="B23" s="303" t="s">
        <v>189</v>
      </c>
      <c r="C23" s="303" t="s">
        <v>311</v>
      </c>
      <c r="D23" s="304" t="s">
        <v>312</v>
      </c>
      <c r="E23" s="304" t="s">
        <v>313</v>
      </c>
      <c r="F23" s="304" t="s">
        <v>314</v>
      </c>
      <c r="G23" s="304" t="s">
        <v>315</v>
      </c>
      <c r="H23" s="304" t="s">
        <v>316</v>
      </c>
      <c r="I23" s="304" t="s">
        <v>317</v>
      </c>
    </row>
    <row r="24" s="282" customFormat="1" ht="23.25" customHeight="1" spans="1:9">
      <c r="A24" s="296" t="s">
        <v>318</v>
      </c>
      <c r="B24" s="305">
        <f>SUM(C24:I24)</f>
        <v>17385.78</v>
      </c>
      <c r="C24" s="306"/>
      <c r="D24" s="307">
        <f>分年计划及建设期利息!E17</f>
        <v>10431.47</v>
      </c>
      <c r="E24" s="307">
        <f>分年计划及建设期利息!F17</f>
        <v>6954.31</v>
      </c>
      <c r="F24" s="307">
        <f>分年计划及建设期利息!G17</f>
        <v>0</v>
      </c>
      <c r="G24" s="307">
        <f>分年计划及建设期利息!H17</f>
        <v>0</v>
      </c>
      <c r="H24" s="308"/>
      <c r="I24" s="308"/>
    </row>
    <row r="25" s="282" customFormat="1" ht="23.25" customHeight="1" spans="1:9">
      <c r="A25" s="296" t="s">
        <v>319</v>
      </c>
      <c r="B25" s="305">
        <f>SUM(C25:I25)</f>
        <v>2754.06</v>
      </c>
      <c r="C25" s="306"/>
      <c r="D25" s="307">
        <f>分年计划及建设期利息!E18</f>
        <v>1652.44</v>
      </c>
      <c r="E25" s="307">
        <f>分年计划及建设期利息!F18</f>
        <v>1101.62</v>
      </c>
      <c r="F25" s="307">
        <f>分年计划及建设期利息!G18</f>
        <v>0</v>
      </c>
      <c r="G25" s="307">
        <f>分年计划及建设期利息!H18</f>
        <v>0</v>
      </c>
      <c r="H25" s="308"/>
      <c r="I25" s="308"/>
    </row>
    <row r="26" s="282" customFormat="1" ht="23.25" customHeight="1" spans="1:9">
      <c r="A26" s="296" t="s">
        <v>320</v>
      </c>
      <c r="B26" s="305">
        <f>SUM(C26:I26)</f>
        <v>1590.16</v>
      </c>
      <c r="C26" s="306"/>
      <c r="D26" s="307">
        <f>分年计划及建设期利息!E19</f>
        <v>954.1</v>
      </c>
      <c r="E26" s="307">
        <f>分年计划及建设期利息!F19</f>
        <v>636.06</v>
      </c>
      <c r="F26" s="307">
        <f>分年计划及建设期利息!G19</f>
        <v>0</v>
      </c>
      <c r="G26" s="307">
        <f>分年计划及建设期利息!H19</f>
        <v>0</v>
      </c>
      <c r="H26" s="308"/>
      <c r="I26" s="308"/>
    </row>
    <row r="27" s="282" customFormat="1" ht="23.25" customHeight="1" spans="1:9">
      <c r="A27" s="296" t="s">
        <v>321</v>
      </c>
      <c r="B27" s="305">
        <f>SUM(C27:I27)</f>
        <v>270</v>
      </c>
      <c r="C27" s="306"/>
      <c r="D27" s="307">
        <f>分年计划及建设期利息!E20</f>
        <v>135</v>
      </c>
      <c r="E27" s="307">
        <f>分年计划及建设期利息!F20</f>
        <v>135</v>
      </c>
      <c r="F27" s="307">
        <f>分年计划及建设期利息!G20</f>
        <v>0</v>
      </c>
      <c r="G27" s="307">
        <f>分年计划及建设期利息!H20</f>
        <v>0</v>
      </c>
      <c r="H27" s="308"/>
      <c r="I27" s="308"/>
    </row>
    <row r="28" ht="23.25" customHeight="1" spans="1:10">
      <c r="A28" s="303" t="s">
        <v>189</v>
      </c>
      <c r="B28" s="309">
        <f t="shared" ref="B28:I28" si="0">SUM(B24:B27)</f>
        <v>22000</v>
      </c>
      <c r="C28" s="301">
        <f t="shared" si="0"/>
        <v>0</v>
      </c>
      <c r="D28" s="301">
        <f t="shared" si="0"/>
        <v>13173.01</v>
      </c>
      <c r="E28" s="301">
        <f t="shared" si="0"/>
        <v>8826.99</v>
      </c>
      <c r="F28" s="301">
        <f t="shared" si="0"/>
        <v>0</v>
      </c>
      <c r="G28" s="301">
        <f t="shared" si="0"/>
        <v>0</v>
      </c>
      <c r="H28" s="301">
        <f t="shared" si="0"/>
        <v>0</v>
      </c>
      <c r="I28" s="301">
        <f t="shared" si="0"/>
        <v>0</v>
      </c>
      <c r="J28" s="284" t="s">
        <v>322</v>
      </c>
    </row>
    <row r="29" ht="23.25" customHeight="1" spans="1:9">
      <c r="A29" s="284" t="s">
        <v>323</v>
      </c>
      <c r="B29" s="310"/>
      <c r="C29" s="310"/>
      <c r="D29" s="310"/>
      <c r="E29" s="310"/>
      <c r="F29" s="310"/>
      <c r="G29" s="310"/>
      <c r="H29" s="310"/>
      <c r="I29" s="310"/>
    </row>
    <row r="31" ht="23.25" customHeight="1" spans="1:9">
      <c r="A31" s="284" t="s">
        <v>324</v>
      </c>
      <c r="B31" s="302">
        <f>B28-B36</f>
        <v>0</v>
      </c>
      <c r="C31" s="290" t="s">
        <v>325</v>
      </c>
      <c r="D31" s="290"/>
      <c r="E31" s="290" t="s">
        <v>296</v>
      </c>
      <c r="G31" s="311">
        <f>B33/B36</f>
        <v>0.590909090909091</v>
      </c>
      <c r="H31" s="283" t="s">
        <v>326</v>
      </c>
      <c r="I31" s="283" t="s">
        <v>327</v>
      </c>
    </row>
    <row r="32" ht="23.25" customHeight="1" spans="1:9">
      <c r="A32" s="303" t="s">
        <v>328</v>
      </c>
      <c r="B32" s="303" t="s">
        <v>189</v>
      </c>
      <c r="C32" s="303" t="s">
        <v>311</v>
      </c>
      <c r="D32" s="304" t="s">
        <v>312</v>
      </c>
      <c r="E32" s="304" t="s">
        <v>313</v>
      </c>
      <c r="F32" s="304" t="s">
        <v>314</v>
      </c>
      <c r="G32" s="304" t="s">
        <v>315</v>
      </c>
      <c r="H32" s="304" t="s">
        <v>316</v>
      </c>
      <c r="I32" s="304" t="s">
        <v>317</v>
      </c>
    </row>
    <row r="33" ht="23.25" customHeight="1" spans="1:9">
      <c r="A33" s="287" t="s">
        <v>329</v>
      </c>
      <c r="B33" s="309">
        <f>SUM(C33:I33)</f>
        <v>13000</v>
      </c>
      <c r="C33" s="312"/>
      <c r="D33" s="312">
        <f>分年计划及建设期利息!E22</f>
        <v>4173.01</v>
      </c>
      <c r="E33" s="312">
        <f>分年计划及建设期利息!F22</f>
        <v>8826.99</v>
      </c>
      <c r="F33" s="312">
        <f>分年计划及建设期利息!G22</f>
        <v>0</v>
      </c>
      <c r="G33" s="312">
        <f>分年计划及建设期利息!H22</f>
        <v>0</v>
      </c>
      <c r="H33" s="312"/>
      <c r="I33" s="312"/>
    </row>
    <row r="34" ht="23.25" customHeight="1" spans="1:10">
      <c r="A34" s="287" t="s">
        <v>330</v>
      </c>
      <c r="B34" s="309">
        <f t="shared" ref="B34:B36" si="1">SUM(C34:I34)</f>
        <v>0</v>
      </c>
      <c r="C34" s="288"/>
      <c r="D34" s="313"/>
      <c r="E34" s="313"/>
      <c r="F34" s="313"/>
      <c r="G34" s="288"/>
      <c r="H34" s="288"/>
      <c r="I34" s="288"/>
      <c r="J34" s="284" t="s">
        <v>331</v>
      </c>
    </row>
    <row r="35" ht="23.25" customHeight="1" spans="1:9">
      <c r="A35" s="287" t="s">
        <v>332</v>
      </c>
      <c r="B35" s="309">
        <f t="shared" si="1"/>
        <v>9000</v>
      </c>
      <c r="C35" s="288"/>
      <c r="D35" s="313">
        <f>分年计划及建设期利息!E23</f>
        <v>9000</v>
      </c>
      <c r="E35" s="313">
        <f>分年计划及建设期利息!F23</f>
        <v>0</v>
      </c>
      <c r="F35" s="313">
        <f>分年计划及建设期利息!G23</f>
        <v>0</v>
      </c>
      <c r="G35" s="313">
        <f>分年计划及建设期利息!H23</f>
        <v>0</v>
      </c>
      <c r="H35" s="288"/>
      <c r="I35" s="288"/>
    </row>
    <row r="36" ht="23.25" customHeight="1" spans="1:9">
      <c r="A36" s="287" t="s">
        <v>189</v>
      </c>
      <c r="B36" s="309">
        <f t="shared" si="1"/>
        <v>22000</v>
      </c>
      <c r="C36" s="314">
        <f t="shared" ref="C36:I36" si="2">SUM(C33:C35)</f>
        <v>0</v>
      </c>
      <c r="D36" s="315">
        <f t="shared" si="2"/>
        <v>13173.01</v>
      </c>
      <c r="E36" s="315">
        <f t="shared" si="2"/>
        <v>8826.99</v>
      </c>
      <c r="F36" s="315">
        <f t="shared" si="2"/>
        <v>0</v>
      </c>
      <c r="G36" s="314">
        <f t="shared" si="2"/>
        <v>0</v>
      </c>
      <c r="H36" s="314">
        <f t="shared" si="2"/>
        <v>0</v>
      </c>
      <c r="I36" s="314">
        <f t="shared" si="2"/>
        <v>0</v>
      </c>
    </row>
    <row r="37" ht="31.5" customHeight="1" spans="1:9">
      <c r="A37" s="316" t="s">
        <v>333</v>
      </c>
      <c r="B37" s="316"/>
      <c r="C37" s="316"/>
      <c r="D37" s="317">
        <f>D35-D28</f>
        <v>-4173.01</v>
      </c>
      <c r="E37" s="317">
        <f t="shared" ref="E37:I37" si="3">E35-E28</f>
        <v>-8826.99</v>
      </c>
      <c r="F37" s="317">
        <f t="shared" si="3"/>
        <v>0</v>
      </c>
      <c r="G37" s="302">
        <f t="shared" si="3"/>
        <v>0</v>
      </c>
      <c r="H37" s="302">
        <f t="shared" si="3"/>
        <v>0</v>
      </c>
      <c r="I37" s="302">
        <f t="shared" si="3"/>
        <v>0</v>
      </c>
    </row>
    <row r="38" ht="23.25" customHeight="1" spans="1:1">
      <c r="A38" s="290"/>
    </row>
    <row r="39" ht="23.25" customHeight="1" spans="1:2">
      <c r="A39" s="290"/>
      <c r="B39" s="318"/>
    </row>
    <row r="40" ht="23.25" customHeight="1" spans="1:2">
      <c r="A40" s="290"/>
      <c r="B40" s="318"/>
    </row>
    <row r="41" ht="23.25" customHeight="1" spans="6:6">
      <c r="F41" s="319"/>
    </row>
  </sheetData>
  <mergeCells count="2">
    <mergeCell ref="A37:C37"/>
    <mergeCell ref="F11:J12"/>
  </mergeCells>
  <dataValidations count="1">
    <dataValidation type="list" allowBlank="1" showInputMessage="1" showErrorMessage="1" sqref="B4">
      <formula1>"是,否"</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41"/>
  <sheetViews>
    <sheetView zoomScale="70" zoomScaleNormal="70" workbookViewId="0">
      <selection activeCell="I38" sqref="B3:I38"/>
    </sheetView>
  </sheetViews>
  <sheetFormatPr defaultColWidth="9" defaultRowHeight="14"/>
  <cols>
    <col min="2" max="2" width="5.44166666666667" customWidth="1"/>
    <col min="3" max="3" width="11.8916666666667" customWidth="1"/>
    <col min="4" max="4" width="9.44166666666667" customWidth="1"/>
    <col min="5" max="5" width="11.6666666666667" customWidth="1"/>
    <col min="6" max="6" width="12.8916666666667" customWidth="1"/>
    <col min="7" max="7" width="9.55833333333333" customWidth="1"/>
    <col min="8" max="8" width="12.1083333333333" style="9" customWidth="1"/>
    <col min="9" max="9" width="14.6666666666667" customWidth="1"/>
  </cols>
  <sheetData>
    <row r="2" spans="2:9">
      <c r="B2" s="153"/>
      <c r="C2" s="153"/>
      <c r="D2" s="153"/>
      <c r="E2" s="153"/>
      <c r="F2" s="153"/>
      <c r="G2" s="153"/>
      <c r="H2" s="276" t="s">
        <v>334</v>
      </c>
      <c r="I2" s="276"/>
    </row>
    <row r="3" spans="2:9">
      <c r="B3" s="277" t="s">
        <v>335</v>
      </c>
      <c r="C3" s="277" t="s">
        <v>336</v>
      </c>
      <c r="D3" s="197" t="s">
        <v>337</v>
      </c>
      <c r="E3" s="277" t="s">
        <v>338</v>
      </c>
      <c r="F3" s="277" t="s">
        <v>339</v>
      </c>
      <c r="G3" s="277" t="s">
        <v>340</v>
      </c>
      <c r="H3" s="277" t="s">
        <v>341</v>
      </c>
      <c r="I3" s="277" t="s">
        <v>342</v>
      </c>
    </row>
    <row r="4" ht="13.8" customHeight="1" spans="2:9">
      <c r="B4" s="278"/>
      <c r="C4" s="278"/>
      <c r="D4" s="199"/>
      <c r="E4" s="278"/>
      <c r="F4" s="278"/>
      <c r="G4" s="278"/>
      <c r="H4" s="278"/>
      <c r="I4" s="278"/>
    </row>
    <row r="5" spans="2:9">
      <c r="B5" s="1">
        <v>1</v>
      </c>
      <c r="C5" s="56">
        <v>0</v>
      </c>
      <c r="D5" s="56">
        <v>9000</v>
      </c>
      <c r="E5" s="1"/>
      <c r="F5" s="279">
        <f>C5+D5-E5</f>
        <v>9000</v>
      </c>
      <c r="G5" s="48">
        <v>0.03</v>
      </c>
      <c r="H5" s="45">
        <f>F5*G5</f>
        <v>270</v>
      </c>
      <c r="I5" s="45">
        <f>E5+H5</f>
        <v>270</v>
      </c>
    </row>
    <row r="6" spans="2:9">
      <c r="B6" s="1">
        <v>2</v>
      </c>
      <c r="C6" s="56">
        <f>F5</f>
        <v>9000</v>
      </c>
      <c r="D6" s="56">
        <v>0</v>
      </c>
      <c r="E6" s="1"/>
      <c r="F6" s="279">
        <f>C6+D6-E6</f>
        <v>9000</v>
      </c>
      <c r="G6" s="48">
        <f t="shared" ref="G6:G37" si="0">G5</f>
        <v>0.03</v>
      </c>
      <c r="H6" s="45">
        <f>(C6+D6)*G6</f>
        <v>270</v>
      </c>
      <c r="I6" s="45">
        <f t="shared" ref="I6:I37" si="1">E6+H6</f>
        <v>270</v>
      </c>
    </row>
    <row r="7" spans="2:9">
      <c r="B7" s="1">
        <v>3</v>
      </c>
      <c r="C7" s="56">
        <f>F6</f>
        <v>9000</v>
      </c>
      <c r="D7" s="56">
        <f>分年计划及建设期利息!G23</f>
        <v>0</v>
      </c>
      <c r="E7" s="1"/>
      <c r="F7" s="279">
        <f t="shared" ref="F7:F37" si="2">C7+D7-E7</f>
        <v>9000</v>
      </c>
      <c r="G7" s="48">
        <f t="shared" si="0"/>
        <v>0.03</v>
      </c>
      <c r="H7" s="45">
        <f t="shared" ref="H7:H37" si="3">(C7+D7)*G7</f>
        <v>270</v>
      </c>
      <c r="I7" s="45">
        <f t="shared" si="1"/>
        <v>270</v>
      </c>
    </row>
    <row r="8" spans="2:9">
      <c r="B8" s="1">
        <v>4</v>
      </c>
      <c r="C8" s="56">
        <f>F7</f>
        <v>9000</v>
      </c>
      <c r="D8" s="56">
        <f>分年计划及建设期利息!H23</f>
        <v>0</v>
      </c>
      <c r="E8" s="1"/>
      <c r="F8" s="279">
        <f t="shared" si="2"/>
        <v>9000</v>
      </c>
      <c r="G8" s="48">
        <f t="shared" si="0"/>
        <v>0.03</v>
      </c>
      <c r="H8" s="45">
        <f t="shared" si="3"/>
        <v>270</v>
      </c>
      <c r="I8" s="45">
        <f t="shared" si="1"/>
        <v>270</v>
      </c>
    </row>
    <row r="9" spans="2:9">
      <c r="B9" s="1">
        <v>5</v>
      </c>
      <c r="C9" s="56">
        <f>F8</f>
        <v>9000</v>
      </c>
      <c r="D9" s="56"/>
      <c r="E9" s="1"/>
      <c r="F9" s="279">
        <f t="shared" si="2"/>
        <v>9000</v>
      </c>
      <c r="G9" s="48">
        <f t="shared" si="0"/>
        <v>0.03</v>
      </c>
      <c r="H9" s="45">
        <f t="shared" si="3"/>
        <v>270</v>
      </c>
      <c r="I9" s="45">
        <f t="shared" si="1"/>
        <v>270</v>
      </c>
    </row>
    <row r="10" spans="2:9">
      <c r="B10" s="1">
        <v>6</v>
      </c>
      <c r="C10" s="56">
        <f t="shared" ref="C10:C37" si="4">F9</f>
        <v>9000</v>
      </c>
      <c r="D10" s="56"/>
      <c r="E10" s="1"/>
      <c r="F10" s="279">
        <f t="shared" si="2"/>
        <v>9000</v>
      </c>
      <c r="G10" s="48">
        <f t="shared" si="0"/>
        <v>0.03</v>
      </c>
      <c r="H10" s="45">
        <f t="shared" si="3"/>
        <v>270</v>
      </c>
      <c r="I10" s="45">
        <f t="shared" si="1"/>
        <v>270</v>
      </c>
    </row>
    <row r="11" spans="2:9">
      <c r="B11" s="1">
        <v>7</v>
      </c>
      <c r="C11" s="56">
        <f t="shared" si="4"/>
        <v>9000</v>
      </c>
      <c r="D11" s="56"/>
      <c r="E11" s="1"/>
      <c r="F11" s="279">
        <f t="shared" si="2"/>
        <v>9000</v>
      </c>
      <c r="G11" s="48">
        <f t="shared" si="0"/>
        <v>0.03</v>
      </c>
      <c r="H11" s="45">
        <f t="shared" si="3"/>
        <v>270</v>
      </c>
      <c r="I11" s="45">
        <f t="shared" si="1"/>
        <v>270</v>
      </c>
    </row>
    <row r="12" spans="2:9">
      <c r="B12" s="1">
        <v>8</v>
      </c>
      <c r="C12" s="56">
        <f t="shared" si="4"/>
        <v>9000</v>
      </c>
      <c r="D12" s="56"/>
      <c r="E12" s="1"/>
      <c r="F12" s="279">
        <f t="shared" si="2"/>
        <v>9000</v>
      </c>
      <c r="G12" s="48">
        <f t="shared" si="0"/>
        <v>0.03</v>
      </c>
      <c r="H12" s="45">
        <f t="shared" si="3"/>
        <v>270</v>
      </c>
      <c r="I12" s="45">
        <f t="shared" si="1"/>
        <v>270</v>
      </c>
    </row>
    <row r="13" spans="2:9">
      <c r="B13" s="1">
        <v>9</v>
      </c>
      <c r="C13" s="56">
        <f t="shared" si="4"/>
        <v>9000</v>
      </c>
      <c r="D13" s="56"/>
      <c r="E13" s="1"/>
      <c r="F13" s="279">
        <f t="shared" si="2"/>
        <v>9000</v>
      </c>
      <c r="G13" s="48">
        <f t="shared" si="0"/>
        <v>0.03</v>
      </c>
      <c r="H13" s="45">
        <f t="shared" si="3"/>
        <v>270</v>
      </c>
      <c r="I13" s="45">
        <f t="shared" si="1"/>
        <v>270</v>
      </c>
    </row>
    <row r="14" spans="2:9">
      <c r="B14" s="1">
        <v>10</v>
      </c>
      <c r="C14" s="56">
        <f t="shared" si="4"/>
        <v>9000</v>
      </c>
      <c r="D14" s="56"/>
      <c r="E14" s="1"/>
      <c r="F14" s="279">
        <f t="shared" si="2"/>
        <v>9000</v>
      </c>
      <c r="G14" s="48">
        <f t="shared" si="0"/>
        <v>0.03</v>
      </c>
      <c r="H14" s="45">
        <f t="shared" si="3"/>
        <v>270</v>
      </c>
      <c r="I14" s="45">
        <f t="shared" si="1"/>
        <v>270</v>
      </c>
    </row>
    <row r="15" spans="2:9">
      <c r="B15" s="1">
        <v>11</v>
      </c>
      <c r="C15" s="56">
        <f t="shared" si="4"/>
        <v>9000</v>
      </c>
      <c r="D15" s="56"/>
      <c r="E15" s="1"/>
      <c r="F15" s="279">
        <f t="shared" si="2"/>
        <v>9000</v>
      </c>
      <c r="G15" s="48">
        <f t="shared" si="0"/>
        <v>0.03</v>
      </c>
      <c r="H15" s="45">
        <f t="shared" si="3"/>
        <v>270</v>
      </c>
      <c r="I15" s="45">
        <f t="shared" si="1"/>
        <v>270</v>
      </c>
    </row>
    <row r="16" spans="2:9">
      <c r="B16" s="1">
        <v>12</v>
      </c>
      <c r="C16" s="56">
        <f t="shared" si="4"/>
        <v>9000</v>
      </c>
      <c r="D16" s="56"/>
      <c r="E16" s="1"/>
      <c r="F16" s="279">
        <f t="shared" si="2"/>
        <v>9000</v>
      </c>
      <c r="G16" s="48">
        <f t="shared" si="0"/>
        <v>0.03</v>
      </c>
      <c r="H16" s="45">
        <f t="shared" si="3"/>
        <v>270</v>
      </c>
      <c r="I16" s="45">
        <f t="shared" si="1"/>
        <v>270</v>
      </c>
    </row>
    <row r="17" spans="2:9">
      <c r="B17" s="1">
        <v>13</v>
      </c>
      <c r="C17" s="56">
        <f t="shared" si="4"/>
        <v>9000</v>
      </c>
      <c r="D17" s="56"/>
      <c r="E17" s="1"/>
      <c r="F17" s="279">
        <f t="shared" si="2"/>
        <v>9000</v>
      </c>
      <c r="G17" s="48">
        <f t="shared" si="0"/>
        <v>0.03</v>
      </c>
      <c r="H17" s="45">
        <f t="shared" si="3"/>
        <v>270</v>
      </c>
      <c r="I17" s="45">
        <f t="shared" si="1"/>
        <v>270</v>
      </c>
    </row>
    <row r="18" spans="2:9">
      <c r="B18" s="1">
        <v>14</v>
      </c>
      <c r="C18" s="56">
        <f t="shared" si="4"/>
        <v>9000</v>
      </c>
      <c r="D18" s="56"/>
      <c r="E18" s="1"/>
      <c r="F18" s="279">
        <f t="shared" si="2"/>
        <v>9000</v>
      </c>
      <c r="G18" s="48">
        <f t="shared" si="0"/>
        <v>0.03</v>
      </c>
      <c r="H18" s="45">
        <f t="shared" si="3"/>
        <v>270</v>
      </c>
      <c r="I18" s="45">
        <f t="shared" si="1"/>
        <v>270</v>
      </c>
    </row>
    <row r="19" spans="2:9">
      <c r="B19" s="1">
        <v>15</v>
      </c>
      <c r="C19" s="56">
        <f t="shared" si="4"/>
        <v>9000</v>
      </c>
      <c r="D19" s="56"/>
      <c r="E19" s="1"/>
      <c r="F19" s="279">
        <f t="shared" si="2"/>
        <v>9000</v>
      </c>
      <c r="G19" s="48">
        <f t="shared" si="0"/>
        <v>0.03</v>
      </c>
      <c r="H19" s="45">
        <f t="shared" si="3"/>
        <v>270</v>
      </c>
      <c r="I19" s="45">
        <f t="shared" si="1"/>
        <v>270</v>
      </c>
    </row>
    <row r="20" spans="2:9">
      <c r="B20" s="1">
        <v>16</v>
      </c>
      <c r="C20" s="56">
        <f t="shared" si="4"/>
        <v>9000</v>
      </c>
      <c r="D20" s="56"/>
      <c r="E20" s="1"/>
      <c r="F20" s="279">
        <f t="shared" si="2"/>
        <v>9000</v>
      </c>
      <c r="G20" s="48">
        <f t="shared" si="0"/>
        <v>0.03</v>
      </c>
      <c r="H20" s="45">
        <f t="shared" si="3"/>
        <v>270</v>
      </c>
      <c r="I20" s="45">
        <f t="shared" si="1"/>
        <v>270</v>
      </c>
    </row>
    <row r="21" spans="2:9">
      <c r="B21" s="1">
        <v>17</v>
      </c>
      <c r="C21" s="56">
        <f t="shared" si="4"/>
        <v>9000</v>
      </c>
      <c r="D21" s="56"/>
      <c r="E21" s="1"/>
      <c r="F21" s="279">
        <f t="shared" si="2"/>
        <v>9000</v>
      </c>
      <c r="G21" s="48">
        <f t="shared" si="0"/>
        <v>0.03</v>
      </c>
      <c r="H21" s="45">
        <f t="shared" si="3"/>
        <v>270</v>
      </c>
      <c r="I21" s="45">
        <f t="shared" si="1"/>
        <v>270</v>
      </c>
    </row>
    <row r="22" spans="2:9">
      <c r="B22" s="1">
        <v>18</v>
      </c>
      <c r="C22" s="56">
        <f t="shared" si="4"/>
        <v>9000</v>
      </c>
      <c r="D22" s="56"/>
      <c r="E22" s="1"/>
      <c r="F22" s="279">
        <f t="shared" si="2"/>
        <v>9000</v>
      </c>
      <c r="G22" s="48">
        <f t="shared" si="0"/>
        <v>0.03</v>
      </c>
      <c r="H22" s="45">
        <f t="shared" si="3"/>
        <v>270</v>
      </c>
      <c r="I22" s="45">
        <f t="shared" si="1"/>
        <v>270</v>
      </c>
    </row>
    <row r="23" spans="2:9">
      <c r="B23" s="1">
        <v>19</v>
      </c>
      <c r="C23" s="56">
        <f t="shared" si="4"/>
        <v>9000</v>
      </c>
      <c r="D23" s="56"/>
      <c r="E23" s="1"/>
      <c r="F23" s="279">
        <f t="shared" si="2"/>
        <v>9000</v>
      </c>
      <c r="G23" s="48">
        <f t="shared" si="0"/>
        <v>0.03</v>
      </c>
      <c r="H23" s="45">
        <f t="shared" si="3"/>
        <v>270</v>
      </c>
      <c r="I23" s="45">
        <f t="shared" si="1"/>
        <v>270</v>
      </c>
    </row>
    <row r="24" spans="2:9">
      <c r="B24" s="1">
        <v>20</v>
      </c>
      <c r="C24" s="56">
        <f t="shared" si="4"/>
        <v>9000</v>
      </c>
      <c r="D24" s="56"/>
      <c r="E24" s="1"/>
      <c r="F24" s="279">
        <f t="shared" si="2"/>
        <v>9000</v>
      </c>
      <c r="G24" s="48">
        <f t="shared" si="0"/>
        <v>0.03</v>
      </c>
      <c r="H24" s="45">
        <f t="shared" si="3"/>
        <v>270</v>
      </c>
      <c r="I24" s="45">
        <f t="shared" si="1"/>
        <v>270</v>
      </c>
    </row>
    <row r="25" spans="2:9">
      <c r="B25" s="1">
        <v>21</v>
      </c>
      <c r="C25" s="56">
        <f t="shared" si="4"/>
        <v>9000</v>
      </c>
      <c r="D25" s="56"/>
      <c r="E25" s="1"/>
      <c r="F25" s="279">
        <f t="shared" si="2"/>
        <v>9000</v>
      </c>
      <c r="G25" s="48">
        <f t="shared" si="0"/>
        <v>0.03</v>
      </c>
      <c r="H25" s="45">
        <f t="shared" si="3"/>
        <v>270</v>
      </c>
      <c r="I25" s="45">
        <f t="shared" si="1"/>
        <v>270</v>
      </c>
    </row>
    <row r="26" spans="2:9">
      <c r="B26" s="1">
        <v>22</v>
      </c>
      <c r="C26" s="56">
        <f t="shared" si="4"/>
        <v>9000</v>
      </c>
      <c r="D26" s="56"/>
      <c r="E26" s="1"/>
      <c r="F26" s="279">
        <f t="shared" si="2"/>
        <v>9000</v>
      </c>
      <c r="G26" s="48">
        <f t="shared" si="0"/>
        <v>0.03</v>
      </c>
      <c r="H26" s="45">
        <f t="shared" si="3"/>
        <v>270</v>
      </c>
      <c r="I26" s="45">
        <f t="shared" si="1"/>
        <v>270</v>
      </c>
    </row>
    <row r="27" spans="2:9">
      <c r="B27" s="1">
        <v>23</v>
      </c>
      <c r="C27" s="56">
        <f t="shared" si="4"/>
        <v>9000</v>
      </c>
      <c r="D27" s="56"/>
      <c r="E27" s="1"/>
      <c r="F27" s="279">
        <f t="shared" si="2"/>
        <v>9000</v>
      </c>
      <c r="G27" s="48">
        <f t="shared" si="0"/>
        <v>0.03</v>
      </c>
      <c r="H27" s="45">
        <f t="shared" si="3"/>
        <v>270</v>
      </c>
      <c r="I27" s="45">
        <f t="shared" si="1"/>
        <v>270</v>
      </c>
    </row>
    <row r="28" spans="2:9">
      <c r="B28" s="1">
        <v>24</v>
      </c>
      <c r="C28" s="56">
        <f t="shared" si="4"/>
        <v>9000</v>
      </c>
      <c r="D28" s="56"/>
      <c r="E28" s="1"/>
      <c r="F28" s="279">
        <f t="shared" si="2"/>
        <v>9000</v>
      </c>
      <c r="G28" s="48">
        <f t="shared" si="0"/>
        <v>0.03</v>
      </c>
      <c r="H28" s="45">
        <f t="shared" si="3"/>
        <v>270</v>
      </c>
      <c r="I28" s="45">
        <f t="shared" si="1"/>
        <v>270</v>
      </c>
    </row>
    <row r="29" spans="2:9">
      <c r="B29" s="1">
        <v>25</v>
      </c>
      <c r="C29" s="56">
        <f t="shared" si="4"/>
        <v>9000</v>
      </c>
      <c r="D29" s="56"/>
      <c r="E29" s="1"/>
      <c r="F29" s="279">
        <f t="shared" si="2"/>
        <v>9000</v>
      </c>
      <c r="G29" s="48">
        <f t="shared" si="0"/>
        <v>0.03</v>
      </c>
      <c r="H29" s="45">
        <f t="shared" si="3"/>
        <v>270</v>
      </c>
      <c r="I29" s="45">
        <f t="shared" si="1"/>
        <v>270</v>
      </c>
    </row>
    <row r="30" spans="2:9">
      <c r="B30" s="1">
        <v>26</v>
      </c>
      <c r="C30" s="56">
        <f t="shared" si="4"/>
        <v>9000</v>
      </c>
      <c r="D30" s="56"/>
      <c r="E30" s="1"/>
      <c r="F30" s="279">
        <f t="shared" si="2"/>
        <v>9000</v>
      </c>
      <c r="G30" s="48">
        <f t="shared" si="0"/>
        <v>0.03</v>
      </c>
      <c r="H30" s="45">
        <f t="shared" si="3"/>
        <v>270</v>
      </c>
      <c r="I30" s="45">
        <f t="shared" si="1"/>
        <v>270</v>
      </c>
    </row>
    <row r="31" spans="2:9">
      <c r="B31" s="1">
        <v>27</v>
      </c>
      <c r="C31" s="56">
        <f t="shared" si="4"/>
        <v>9000</v>
      </c>
      <c r="D31" s="56"/>
      <c r="E31" s="1"/>
      <c r="F31" s="279">
        <f t="shared" si="2"/>
        <v>9000</v>
      </c>
      <c r="G31" s="48">
        <f t="shared" si="0"/>
        <v>0.03</v>
      </c>
      <c r="H31" s="45">
        <f t="shared" si="3"/>
        <v>270</v>
      </c>
      <c r="I31" s="45">
        <f t="shared" si="1"/>
        <v>270</v>
      </c>
    </row>
    <row r="32" spans="2:9">
      <c r="B32" s="1">
        <v>28</v>
      </c>
      <c r="C32" s="56">
        <f t="shared" si="4"/>
        <v>9000</v>
      </c>
      <c r="D32" s="56"/>
      <c r="E32" s="1"/>
      <c r="F32" s="279">
        <f t="shared" si="2"/>
        <v>9000</v>
      </c>
      <c r="G32" s="48">
        <f t="shared" si="0"/>
        <v>0.03</v>
      </c>
      <c r="H32" s="45">
        <f t="shared" si="3"/>
        <v>270</v>
      </c>
      <c r="I32" s="45">
        <f t="shared" si="1"/>
        <v>270</v>
      </c>
    </row>
    <row r="33" spans="2:9">
      <c r="B33" s="1">
        <v>29</v>
      </c>
      <c r="C33" s="56">
        <f t="shared" si="4"/>
        <v>9000</v>
      </c>
      <c r="D33" s="56"/>
      <c r="E33" s="1"/>
      <c r="F33" s="279">
        <f t="shared" si="2"/>
        <v>9000</v>
      </c>
      <c r="G33" s="48">
        <f t="shared" si="0"/>
        <v>0.03</v>
      </c>
      <c r="H33" s="45">
        <f t="shared" si="3"/>
        <v>270</v>
      </c>
      <c r="I33" s="45">
        <f t="shared" si="1"/>
        <v>270</v>
      </c>
    </row>
    <row r="34" spans="2:9">
      <c r="B34" s="1">
        <v>30</v>
      </c>
      <c r="C34" s="56">
        <f t="shared" si="4"/>
        <v>9000</v>
      </c>
      <c r="D34" s="56"/>
      <c r="E34" s="45">
        <f>D5</f>
        <v>9000</v>
      </c>
      <c r="F34" s="279">
        <f t="shared" si="2"/>
        <v>0</v>
      </c>
      <c r="G34" s="48">
        <f t="shared" si="0"/>
        <v>0.03</v>
      </c>
      <c r="H34" s="45">
        <f t="shared" si="3"/>
        <v>270</v>
      </c>
      <c r="I34" s="45">
        <f t="shared" si="1"/>
        <v>9270</v>
      </c>
    </row>
    <row r="35" customFormat="1" hidden="1" spans="2:9">
      <c r="B35" s="1">
        <v>31</v>
      </c>
      <c r="C35" s="56">
        <f t="shared" si="4"/>
        <v>0</v>
      </c>
      <c r="D35" s="56"/>
      <c r="E35" s="45">
        <f>D6</f>
        <v>0</v>
      </c>
      <c r="F35" s="279">
        <f t="shared" si="2"/>
        <v>0</v>
      </c>
      <c r="G35" s="48">
        <f t="shared" si="0"/>
        <v>0.03</v>
      </c>
      <c r="H35" s="45">
        <f t="shared" si="3"/>
        <v>0</v>
      </c>
      <c r="I35" s="45">
        <f t="shared" si="1"/>
        <v>0</v>
      </c>
    </row>
    <row r="36" customFormat="1" hidden="1" spans="2:9">
      <c r="B36" s="1">
        <v>32</v>
      </c>
      <c r="C36" s="56">
        <f t="shared" si="4"/>
        <v>0</v>
      </c>
      <c r="D36" s="56"/>
      <c r="E36" s="45">
        <f>D7</f>
        <v>0</v>
      </c>
      <c r="F36" s="279">
        <f t="shared" si="2"/>
        <v>0</v>
      </c>
      <c r="G36" s="48">
        <f t="shared" si="0"/>
        <v>0.03</v>
      </c>
      <c r="H36" s="45">
        <f t="shared" si="3"/>
        <v>0</v>
      </c>
      <c r="I36" s="45">
        <f t="shared" si="1"/>
        <v>0</v>
      </c>
    </row>
    <row r="37" customFormat="1" hidden="1" spans="2:9">
      <c r="B37" s="1">
        <v>33</v>
      </c>
      <c r="C37" s="56">
        <f t="shared" si="4"/>
        <v>0</v>
      </c>
      <c r="D37" s="56"/>
      <c r="E37" s="45">
        <f>D8</f>
        <v>0</v>
      </c>
      <c r="F37" s="279">
        <f t="shared" si="2"/>
        <v>0</v>
      </c>
      <c r="G37" s="48">
        <f t="shared" si="0"/>
        <v>0.03</v>
      </c>
      <c r="H37" s="45">
        <f t="shared" si="3"/>
        <v>0</v>
      </c>
      <c r="I37" s="45">
        <f t="shared" si="1"/>
        <v>0</v>
      </c>
    </row>
    <row r="38" s="275" customFormat="1" spans="2:9">
      <c r="B38" s="280" t="s">
        <v>189</v>
      </c>
      <c r="C38" s="280"/>
      <c r="D38" s="280"/>
      <c r="E38" s="281">
        <f>SUM(E5:E37)</f>
        <v>9000</v>
      </c>
      <c r="F38" s="281"/>
      <c r="G38" s="281"/>
      <c r="H38" s="281">
        <f>SUM(H5:H37)</f>
        <v>8100</v>
      </c>
      <c r="I38" s="281">
        <f>SUM(I5:I37)</f>
        <v>17100</v>
      </c>
    </row>
    <row r="41" spans="8:8">
      <c r="H41" s="9">
        <f>E38*4.5%*30</f>
        <v>12150</v>
      </c>
    </row>
  </sheetData>
  <mergeCells count="9">
    <mergeCell ref="H2:I2"/>
    <mergeCell ref="B3:B4"/>
    <mergeCell ref="C3:C4"/>
    <mergeCell ref="D3:D4"/>
    <mergeCell ref="E3:E4"/>
    <mergeCell ref="F3:F4"/>
    <mergeCell ref="G3:G4"/>
    <mergeCell ref="H3:H4"/>
    <mergeCell ref="I3:I4"/>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A1:AN74"/>
  <sheetViews>
    <sheetView zoomScale="85" zoomScaleNormal="85" topLeftCell="AA1" workbookViewId="0">
      <selection activeCell="AF38" sqref="AF38"/>
    </sheetView>
  </sheetViews>
  <sheetFormatPr defaultColWidth="9.66666666666667" defaultRowHeight="14"/>
  <cols>
    <col min="1" max="1" width="7.44166666666667" style="153" customWidth="1"/>
    <col min="2" max="2" width="11.3333333333333" style="153" customWidth="1"/>
    <col min="3" max="3" width="5.58333333333333" style="153" customWidth="1"/>
    <col min="4" max="4" width="10" style="153" customWidth="1"/>
    <col min="5" max="5" width="10.5583333333333" style="153" hidden="1" customWidth="1"/>
    <col min="6" max="6" width="10.1083333333333" style="153" customWidth="1"/>
    <col min="7" max="7" width="11.6666666666667" style="153" customWidth="1"/>
    <col min="8" max="8" width="7.825" style="153" customWidth="1"/>
    <col min="9" max="11" width="11.6666666666667" style="153" customWidth="1"/>
    <col min="12" max="12" width="5.58333333333333" style="153" customWidth="1"/>
    <col min="13" max="13" width="6.66666666666667" style="153" customWidth="1"/>
    <col min="14" max="14" width="8.23333333333333" style="153" customWidth="1"/>
    <col min="15" max="15" width="10.3916666666667" style="153" customWidth="1"/>
    <col min="16" max="16" width="8.33333333333333" style="153" customWidth="1"/>
    <col min="17" max="17" width="11.6666666666667" style="153" customWidth="1"/>
    <col min="18" max="18" width="6.95833333333333" style="153" hidden="1" customWidth="1"/>
    <col min="19" max="19" width="9.11666666666667" style="153" hidden="1" customWidth="1"/>
    <col min="20" max="20" width="10" style="153" hidden="1" customWidth="1"/>
    <col min="21" max="21" width="9.11666666666667" style="153" hidden="1" customWidth="1"/>
    <col min="22" max="22" width="5.58333333333333" style="153" customWidth="1"/>
    <col min="23" max="23" width="9.28333333333333" style="153" customWidth="1"/>
    <col min="24" max="24" width="10.1083333333333" style="153" customWidth="1"/>
    <col min="25" max="25" width="11.2666666666667" style="153" customWidth="1"/>
    <col min="26" max="26" width="10.6666666666667" style="153" customWidth="1"/>
    <col min="27" max="27" width="14.4166666666667" style="221" customWidth="1"/>
    <col min="28" max="28" width="4.10833333333333" style="153" customWidth="1"/>
    <col min="29" max="29" width="5.89166666666667" style="153" customWidth="1"/>
    <col min="30" max="30" width="12.3333333333333" style="153" hidden="1" customWidth="1"/>
    <col min="31" max="31" width="10.1083333333333" style="153" customWidth="1"/>
    <col min="32" max="32" width="10.5583333333333" style="153" customWidth="1"/>
    <col min="33" max="33" width="13.5583333333333" style="153" customWidth="1"/>
    <col min="34" max="34" width="9.55833333333333" style="153" hidden="1" customWidth="1"/>
    <col min="35" max="35" width="10" style="153" customWidth="1"/>
    <col min="36" max="36" width="13.1083333333333" style="153" customWidth="1"/>
    <col min="37" max="37" width="13.5583333333333" style="153" customWidth="1"/>
    <col min="38" max="38" width="9.66666666666667" style="153"/>
    <col min="39" max="39" width="11.5583333333333" style="153" customWidth="1"/>
    <col min="40" max="265" width="9.66666666666667" style="153"/>
    <col min="266" max="266" width="7.44166666666667" style="153" customWidth="1"/>
    <col min="267" max="267" width="11.3333333333333" style="153" customWidth="1"/>
    <col min="268" max="268" width="10.4416666666667" style="153" customWidth="1"/>
    <col min="269" max="269" width="13.5583333333333" style="153" customWidth="1"/>
    <col min="270" max="270" width="10.4416666666667" style="153" customWidth="1"/>
    <col min="271" max="274" width="11.6666666666667" style="153" customWidth="1"/>
    <col min="275" max="275" width="13.3333333333333" style="153" customWidth="1"/>
    <col min="276" max="276" width="13.5583333333333" style="153" customWidth="1"/>
    <col min="277" max="280" width="11.3333333333333" style="153" customWidth="1"/>
    <col min="281" max="281" width="13.5583333333333" style="153" customWidth="1"/>
    <col min="282" max="282" width="10.4416666666667" style="153" customWidth="1"/>
    <col min="283" max="283" width="11.3333333333333" style="153" customWidth="1"/>
    <col min="284" max="284" width="13.5583333333333" style="153" customWidth="1"/>
    <col min="285" max="285" width="4.44166666666667" style="153" customWidth="1"/>
    <col min="286" max="286" width="7.44166666666667" style="153" customWidth="1"/>
    <col min="287" max="287" width="5.55833333333333" style="153" customWidth="1"/>
    <col min="288" max="288" width="13.775" style="153" customWidth="1"/>
    <col min="289" max="289" width="13.5583333333333" style="153" customWidth="1"/>
    <col min="290" max="290" width="11.3333333333333" style="153" customWidth="1"/>
    <col min="291" max="291" width="10.5583333333333" style="153" customWidth="1"/>
    <col min="292" max="292" width="11.6666666666667" style="153" customWidth="1"/>
    <col min="293" max="293" width="13.5583333333333" style="153" customWidth="1"/>
    <col min="294" max="521" width="9.66666666666667" style="153"/>
    <col min="522" max="522" width="7.44166666666667" style="153" customWidth="1"/>
    <col min="523" max="523" width="11.3333333333333" style="153" customWidth="1"/>
    <col min="524" max="524" width="10.4416666666667" style="153" customWidth="1"/>
    <col min="525" max="525" width="13.5583333333333" style="153" customWidth="1"/>
    <col min="526" max="526" width="10.4416666666667" style="153" customWidth="1"/>
    <col min="527" max="530" width="11.6666666666667" style="153" customWidth="1"/>
    <col min="531" max="531" width="13.3333333333333" style="153" customWidth="1"/>
    <col min="532" max="532" width="13.5583333333333" style="153" customWidth="1"/>
    <col min="533" max="536" width="11.3333333333333" style="153" customWidth="1"/>
    <col min="537" max="537" width="13.5583333333333" style="153" customWidth="1"/>
    <col min="538" max="538" width="10.4416666666667" style="153" customWidth="1"/>
    <col min="539" max="539" width="11.3333333333333" style="153" customWidth="1"/>
    <col min="540" max="540" width="13.5583333333333" style="153" customWidth="1"/>
    <col min="541" max="541" width="4.44166666666667" style="153" customWidth="1"/>
    <col min="542" max="542" width="7.44166666666667" style="153" customWidth="1"/>
    <col min="543" max="543" width="5.55833333333333" style="153" customWidth="1"/>
    <col min="544" max="544" width="13.775" style="153" customWidth="1"/>
    <col min="545" max="545" width="13.5583333333333" style="153" customWidth="1"/>
    <col min="546" max="546" width="11.3333333333333" style="153" customWidth="1"/>
    <col min="547" max="547" width="10.5583333333333" style="153" customWidth="1"/>
    <col min="548" max="548" width="11.6666666666667" style="153" customWidth="1"/>
    <col min="549" max="549" width="13.5583333333333" style="153" customWidth="1"/>
    <col min="550" max="777" width="9.66666666666667" style="153"/>
    <col min="778" max="778" width="7.44166666666667" style="153" customWidth="1"/>
    <col min="779" max="779" width="11.3333333333333" style="153" customWidth="1"/>
    <col min="780" max="780" width="10.4416666666667" style="153" customWidth="1"/>
    <col min="781" max="781" width="13.5583333333333" style="153" customWidth="1"/>
    <col min="782" max="782" width="10.4416666666667" style="153" customWidth="1"/>
    <col min="783" max="786" width="11.6666666666667" style="153" customWidth="1"/>
    <col min="787" max="787" width="13.3333333333333" style="153" customWidth="1"/>
    <col min="788" max="788" width="13.5583333333333" style="153" customWidth="1"/>
    <col min="789" max="792" width="11.3333333333333" style="153" customWidth="1"/>
    <col min="793" max="793" width="13.5583333333333" style="153" customWidth="1"/>
    <col min="794" max="794" width="10.4416666666667" style="153" customWidth="1"/>
    <col min="795" max="795" width="11.3333333333333" style="153" customWidth="1"/>
    <col min="796" max="796" width="13.5583333333333" style="153" customWidth="1"/>
    <col min="797" max="797" width="4.44166666666667" style="153" customWidth="1"/>
    <col min="798" max="798" width="7.44166666666667" style="153" customWidth="1"/>
    <col min="799" max="799" width="5.55833333333333" style="153" customWidth="1"/>
    <col min="800" max="800" width="13.775" style="153" customWidth="1"/>
    <col min="801" max="801" width="13.5583333333333" style="153" customWidth="1"/>
    <col min="802" max="802" width="11.3333333333333" style="153" customWidth="1"/>
    <col min="803" max="803" width="10.5583333333333" style="153" customWidth="1"/>
    <col min="804" max="804" width="11.6666666666667" style="153" customWidth="1"/>
    <col min="805" max="805" width="13.5583333333333" style="153" customWidth="1"/>
    <col min="806" max="1033" width="9.66666666666667" style="153"/>
    <col min="1034" max="1034" width="7.44166666666667" style="153" customWidth="1"/>
    <col min="1035" max="1035" width="11.3333333333333" style="153" customWidth="1"/>
    <col min="1036" max="1036" width="10.4416666666667" style="153" customWidth="1"/>
    <col min="1037" max="1037" width="13.5583333333333" style="153" customWidth="1"/>
    <col min="1038" max="1038" width="10.4416666666667" style="153" customWidth="1"/>
    <col min="1039" max="1042" width="11.6666666666667" style="153" customWidth="1"/>
    <col min="1043" max="1043" width="13.3333333333333" style="153" customWidth="1"/>
    <col min="1044" max="1044" width="13.5583333333333" style="153" customWidth="1"/>
    <col min="1045" max="1048" width="11.3333333333333" style="153" customWidth="1"/>
    <col min="1049" max="1049" width="13.5583333333333" style="153" customWidth="1"/>
    <col min="1050" max="1050" width="10.4416666666667" style="153" customWidth="1"/>
    <col min="1051" max="1051" width="11.3333333333333" style="153" customWidth="1"/>
    <col min="1052" max="1052" width="13.5583333333333" style="153" customWidth="1"/>
    <col min="1053" max="1053" width="4.44166666666667" style="153" customWidth="1"/>
    <col min="1054" max="1054" width="7.44166666666667" style="153" customWidth="1"/>
    <col min="1055" max="1055" width="5.55833333333333" style="153" customWidth="1"/>
    <col min="1056" max="1056" width="13.775" style="153" customWidth="1"/>
    <col min="1057" max="1057" width="13.5583333333333" style="153" customWidth="1"/>
    <col min="1058" max="1058" width="11.3333333333333" style="153" customWidth="1"/>
    <col min="1059" max="1059" width="10.5583333333333" style="153" customWidth="1"/>
    <col min="1060" max="1060" width="11.6666666666667" style="153" customWidth="1"/>
    <col min="1061" max="1061" width="13.5583333333333" style="153" customWidth="1"/>
    <col min="1062" max="1289" width="9.66666666666667" style="153"/>
    <col min="1290" max="1290" width="7.44166666666667" style="153" customWidth="1"/>
    <col min="1291" max="1291" width="11.3333333333333" style="153" customWidth="1"/>
    <col min="1292" max="1292" width="10.4416666666667" style="153" customWidth="1"/>
    <col min="1293" max="1293" width="13.5583333333333" style="153" customWidth="1"/>
    <col min="1294" max="1294" width="10.4416666666667" style="153" customWidth="1"/>
    <col min="1295" max="1298" width="11.6666666666667" style="153" customWidth="1"/>
    <col min="1299" max="1299" width="13.3333333333333" style="153" customWidth="1"/>
    <col min="1300" max="1300" width="13.5583333333333" style="153" customWidth="1"/>
    <col min="1301" max="1304" width="11.3333333333333" style="153" customWidth="1"/>
    <col min="1305" max="1305" width="13.5583333333333" style="153" customWidth="1"/>
    <col min="1306" max="1306" width="10.4416666666667" style="153" customWidth="1"/>
    <col min="1307" max="1307" width="11.3333333333333" style="153" customWidth="1"/>
    <col min="1308" max="1308" width="13.5583333333333" style="153" customWidth="1"/>
    <col min="1309" max="1309" width="4.44166666666667" style="153" customWidth="1"/>
    <col min="1310" max="1310" width="7.44166666666667" style="153" customWidth="1"/>
    <col min="1311" max="1311" width="5.55833333333333" style="153" customWidth="1"/>
    <col min="1312" max="1312" width="13.775" style="153" customWidth="1"/>
    <col min="1313" max="1313" width="13.5583333333333" style="153" customWidth="1"/>
    <col min="1314" max="1314" width="11.3333333333333" style="153" customWidth="1"/>
    <col min="1315" max="1315" width="10.5583333333333" style="153" customWidth="1"/>
    <col min="1316" max="1316" width="11.6666666666667" style="153" customWidth="1"/>
    <col min="1317" max="1317" width="13.5583333333333" style="153" customWidth="1"/>
    <col min="1318" max="1545" width="9.66666666666667" style="153"/>
    <col min="1546" max="1546" width="7.44166666666667" style="153" customWidth="1"/>
    <col min="1547" max="1547" width="11.3333333333333" style="153" customWidth="1"/>
    <col min="1548" max="1548" width="10.4416666666667" style="153" customWidth="1"/>
    <col min="1549" max="1549" width="13.5583333333333" style="153" customWidth="1"/>
    <col min="1550" max="1550" width="10.4416666666667" style="153" customWidth="1"/>
    <col min="1551" max="1554" width="11.6666666666667" style="153" customWidth="1"/>
    <col min="1555" max="1555" width="13.3333333333333" style="153" customWidth="1"/>
    <col min="1556" max="1556" width="13.5583333333333" style="153" customWidth="1"/>
    <col min="1557" max="1560" width="11.3333333333333" style="153" customWidth="1"/>
    <col min="1561" max="1561" width="13.5583333333333" style="153" customWidth="1"/>
    <col min="1562" max="1562" width="10.4416666666667" style="153" customWidth="1"/>
    <col min="1563" max="1563" width="11.3333333333333" style="153" customWidth="1"/>
    <col min="1564" max="1564" width="13.5583333333333" style="153" customWidth="1"/>
    <col min="1565" max="1565" width="4.44166666666667" style="153" customWidth="1"/>
    <col min="1566" max="1566" width="7.44166666666667" style="153" customWidth="1"/>
    <col min="1567" max="1567" width="5.55833333333333" style="153" customWidth="1"/>
    <col min="1568" max="1568" width="13.775" style="153" customWidth="1"/>
    <col min="1569" max="1569" width="13.5583333333333" style="153" customWidth="1"/>
    <col min="1570" max="1570" width="11.3333333333333" style="153" customWidth="1"/>
    <col min="1571" max="1571" width="10.5583333333333" style="153" customWidth="1"/>
    <col min="1572" max="1572" width="11.6666666666667" style="153" customWidth="1"/>
    <col min="1573" max="1573" width="13.5583333333333" style="153" customWidth="1"/>
    <col min="1574" max="1801" width="9.66666666666667" style="153"/>
    <col min="1802" max="1802" width="7.44166666666667" style="153" customWidth="1"/>
    <col min="1803" max="1803" width="11.3333333333333" style="153" customWidth="1"/>
    <col min="1804" max="1804" width="10.4416666666667" style="153" customWidth="1"/>
    <col min="1805" max="1805" width="13.5583333333333" style="153" customWidth="1"/>
    <col min="1806" max="1806" width="10.4416666666667" style="153" customWidth="1"/>
    <col min="1807" max="1810" width="11.6666666666667" style="153" customWidth="1"/>
    <col min="1811" max="1811" width="13.3333333333333" style="153" customWidth="1"/>
    <col min="1812" max="1812" width="13.5583333333333" style="153" customWidth="1"/>
    <col min="1813" max="1816" width="11.3333333333333" style="153" customWidth="1"/>
    <col min="1817" max="1817" width="13.5583333333333" style="153" customWidth="1"/>
    <col min="1818" max="1818" width="10.4416666666667" style="153" customWidth="1"/>
    <col min="1819" max="1819" width="11.3333333333333" style="153" customWidth="1"/>
    <col min="1820" max="1820" width="13.5583333333333" style="153" customWidth="1"/>
    <col min="1821" max="1821" width="4.44166666666667" style="153" customWidth="1"/>
    <col min="1822" max="1822" width="7.44166666666667" style="153" customWidth="1"/>
    <col min="1823" max="1823" width="5.55833333333333" style="153" customWidth="1"/>
    <col min="1824" max="1824" width="13.775" style="153" customWidth="1"/>
    <col min="1825" max="1825" width="13.5583333333333" style="153" customWidth="1"/>
    <col min="1826" max="1826" width="11.3333333333333" style="153" customWidth="1"/>
    <col min="1827" max="1827" width="10.5583333333333" style="153" customWidth="1"/>
    <col min="1828" max="1828" width="11.6666666666667" style="153" customWidth="1"/>
    <col min="1829" max="1829" width="13.5583333333333" style="153" customWidth="1"/>
    <col min="1830" max="2057" width="9.66666666666667" style="153"/>
    <col min="2058" max="2058" width="7.44166666666667" style="153" customWidth="1"/>
    <col min="2059" max="2059" width="11.3333333333333" style="153" customWidth="1"/>
    <col min="2060" max="2060" width="10.4416666666667" style="153" customWidth="1"/>
    <col min="2061" max="2061" width="13.5583333333333" style="153" customWidth="1"/>
    <col min="2062" max="2062" width="10.4416666666667" style="153" customWidth="1"/>
    <col min="2063" max="2066" width="11.6666666666667" style="153" customWidth="1"/>
    <col min="2067" max="2067" width="13.3333333333333" style="153" customWidth="1"/>
    <col min="2068" max="2068" width="13.5583333333333" style="153" customWidth="1"/>
    <col min="2069" max="2072" width="11.3333333333333" style="153" customWidth="1"/>
    <col min="2073" max="2073" width="13.5583333333333" style="153" customWidth="1"/>
    <col min="2074" max="2074" width="10.4416666666667" style="153" customWidth="1"/>
    <col min="2075" max="2075" width="11.3333333333333" style="153" customWidth="1"/>
    <col min="2076" max="2076" width="13.5583333333333" style="153" customWidth="1"/>
    <col min="2077" max="2077" width="4.44166666666667" style="153" customWidth="1"/>
    <col min="2078" max="2078" width="7.44166666666667" style="153" customWidth="1"/>
    <col min="2079" max="2079" width="5.55833333333333" style="153" customWidth="1"/>
    <col min="2080" max="2080" width="13.775" style="153" customWidth="1"/>
    <col min="2081" max="2081" width="13.5583333333333" style="153" customWidth="1"/>
    <col min="2082" max="2082" width="11.3333333333333" style="153" customWidth="1"/>
    <col min="2083" max="2083" width="10.5583333333333" style="153" customWidth="1"/>
    <col min="2084" max="2084" width="11.6666666666667" style="153" customWidth="1"/>
    <col min="2085" max="2085" width="13.5583333333333" style="153" customWidth="1"/>
    <col min="2086" max="2313" width="9.66666666666667" style="153"/>
    <col min="2314" max="2314" width="7.44166666666667" style="153" customWidth="1"/>
    <col min="2315" max="2315" width="11.3333333333333" style="153" customWidth="1"/>
    <col min="2316" max="2316" width="10.4416666666667" style="153" customWidth="1"/>
    <col min="2317" max="2317" width="13.5583333333333" style="153" customWidth="1"/>
    <col min="2318" max="2318" width="10.4416666666667" style="153" customWidth="1"/>
    <col min="2319" max="2322" width="11.6666666666667" style="153" customWidth="1"/>
    <col min="2323" max="2323" width="13.3333333333333" style="153" customWidth="1"/>
    <col min="2324" max="2324" width="13.5583333333333" style="153" customWidth="1"/>
    <col min="2325" max="2328" width="11.3333333333333" style="153" customWidth="1"/>
    <col min="2329" max="2329" width="13.5583333333333" style="153" customWidth="1"/>
    <col min="2330" max="2330" width="10.4416666666667" style="153" customWidth="1"/>
    <col min="2331" max="2331" width="11.3333333333333" style="153" customWidth="1"/>
    <col min="2332" max="2332" width="13.5583333333333" style="153" customWidth="1"/>
    <col min="2333" max="2333" width="4.44166666666667" style="153" customWidth="1"/>
    <col min="2334" max="2334" width="7.44166666666667" style="153" customWidth="1"/>
    <col min="2335" max="2335" width="5.55833333333333" style="153" customWidth="1"/>
    <col min="2336" max="2336" width="13.775" style="153" customWidth="1"/>
    <col min="2337" max="2337" width="13.5583333333333" style="153" customWidth="1"/>
    <col min="2338" max="2338" width="11.3333333333333" style="153" customWidth="1"/>
    <col min="2339" max="2339" width="10.5583333333333" style="153" customWidth="1"/>
    <col min="2340" max="2340" width="11.6666666666667" style="153" customWidth="1"/>
    <col min="2341" max="2341" width="13.5583333333333" style="153" customWidth="1"/>
    <col min="2342" max="2569" width="9.66666666666667" style="153"/>
    <col min="2570" max="2570" width="7.44166666666667" style="153" customWidth="1"/>
    <col min="2571" max="2571" width="11.3333333333333" style="153" customWidth="1"/>
    <col min="2572" max="2572" width="10.4416666666667" style="153" customWidth="1"/>
    <col min="2573" max="2573" width="13.5583333333333" style="153" customWidth="1"/>
    <col min="2574" max="2574" width="10.4416666666667" style="153" customWidth="1"/>
    <col min="2575" max="2578" width="11.6666666666667" style="153" customWidth="1"/>
    <col min="2579" max="2579" width="13.3333333333333" style="153" customWidth="1"/>
    <col min="2580" max="2580" width="13.5583333333333" style="153" customWidth="1"/>
    <col min="2581" max="2584" width="11.3333333333333" style="153" customWidth="1"/>
    <col min="2585" max="2585" width="13.5583333333333" style="153" customWidth="1"/>
    <col min="2586" max="2586" width="10.4416666666667" style="153" customWidth="1"/>
    <col min="2587" max="2587" width="11.3333333333333" style="153" customWidth="1"/>
    <col min="2588" max="2588" width="13.5583333333333" style="153" customWidth="1"/>
    <col min="2589" max="2589" width="4.44166666666667" style="153" customWidth="1"/>
    <col min="2590" max="2590" width="7.44166666666667" style="153" customWidth="1"/>
    <col min="2591" max="2591" width="5.55833333333333" style="153" customWidth="1"/>
    <col min="2592" max="2592" width="13.775" style="153" customWidth="1"/>
    <col min="2593" max="2593" width="13.5583333333333" style="153" customWidth="1"/>
    <col min="2594" max="2594" width="11.3333333333333" style="153" customWidth="1"/>
    <col min="2595" max="2595" width="10.5583333333333" style="153" customWidth="1"/>
    <col min="2596" max="2596" width="11.6666666666667" style="153" customWidth="1"/>
    <col min="2597" max="2597" width="13.5583333333333" style="153" customWidth="1"/>
    <col min="2598" max="2825" width="9.66666666666667" style="153"/>
    <col min="2826" max="2826" width="7.44166666666667" style="153" customWidth="1"/>
    <col min="2827" max="2827" width="11.3333333333333" style="153" customWidth="1"/>
    <col min="2828" max="2828" width="10.4416666666667" style="153" customWidth="1"/>
    <col min="2829" max="2829" width="13.5583333333333" style="153" customWidth="1"/>
    <col min="2830" max="2830" width="10.4416666666667" style="153" customWidth="1"/>
    <col min="2831" max="2834" width="11.6666666666667" style="153" customWidth="1"/>
    <col min="2835" max="2835" width="13.3333333333333" style="153" customWidth="1"/>
    <col min="2836" max="2836" width="13.5583333333333" style="153" customWidth="1"/>
    <col min="2837" max="2840" width="11.3333333333333" style="153" customWidth="1"/>
    <col min="2841" max="2841" width="13.5583333333333" style="153" customWidth="1"/>
    <col min="2842" max="2842" width="10.4416666666667" style="153" customWidth="1"/>
    <col min="2843" max="2843" width="11.3333333333333" style="153" customWidth="1"/>
    <col min="2844" max="2844" width="13.5583333333333" style="153" customWidth="1"/>
    <col min="2845" max="2845" width="4.44166666666667" style="153" customWidth="1"/>
    <col min="2846" max="2846" width="7.44166666666667" style="153" customWidth="1"/>
    <col min="2847" max="2847" width="5.55833333333333" style="153" customWidth="1"/>
    <col min="2848" max="2848" width="13.775" style="153" customWidth="1"/>
    <col min="2849" max="2849" width="13.5583333333333" style="153" customWidth="1"/>
    <col min="2850" max="2850" width="11.3333333333333" style="153" customWidth="1"/>
    <col min="2851" max="2851" width="10.5583333333333" style="153" customWidth="1"/>
    <col min="2852" max="2852" width="11.6666666666667" style="153" customWidth="1"/>
    <col min="2853" max="2853" width="13.5583333333333" style="153" customWidth="1"/>
    <col min="2854" max="3081" width="9.66666666666667" style="153"/>
    <col min="3082" max="3082" width="7.44166666666667" style="153" customWidth="1"/>
    <col min="3083" max="3083" width="11.3333333333333" style="153" customWidth="1"/>
    <col min="3084" max="3084" width="10.4416666666667" style="153" customWidth="1"/>
    <col min="3085" max="3085" width="13.5583333333333" style="153" customWidth="1"/>
    <col min="3086" max="3086" width="10.4416666666667" style="153" customWidth="1"/>
    <col min="3087" max="3090" width="11.6666666666667" style="153" customWidth="1"/>
    <col min="3091" max="3091" width="13.3333333333333" style="153" customWidth="1"/>
    <col min="3092" max="3092" width="13.5583333333333" style="153" customWidth="1"/>
    <col min="3093" max="3096" width="11.3333333333333" style="153" customWidth="1"/>
    <col min="3097" max="3097" width="13.5583333333333" style="153" customWidth="1"/>
    <col min="3098" max="3098" width="10.4416666666667" style="153" customWidth="1"/>
    <col min="3099" max="3099" width="11.3333333333333" style="153" customWidth="1"/>
    <col min="3100" max="3100" width="13.5583333333333" style="153" customWidth="1"/>
    <col min="3101" max="3101" width="4.44166666666667" style="153" customWidth="1"/>
    <col min="3102" max="3102" width="7.44166666666667" style="153" customWidth="1"/>
    <col min="3103" max="3103" width="5.55833333333333" style="153" customWidth="1"/>
    <col min="3104" max="3104" width="13.775" style="153" customWidth="1"/>
    <col min="3105" max="3105" width="13.5583333333333" style="153" customWidth="1"/>
    <col min="3106" max="3106" width="11.3333333333333" style="153" customWidth="1"/>
    <col min="3107" max="3107" width="10.5583333333333" style="153" customWidth="1"/>
    <col min="3108" max="3108" width="11.6666666666667" style="153" customWidth="1"/>
    <col min="3109" max="3109" width="13.5583333333333" style="153" customWidth="1"/>
    <col min="3110" max="3337" width="9.66666666666667" style="153"/>
    <col min="3338" max="3338" width="7.44166666666667" style="153" customWidth="1"/>
    <col min="3339" max="3339" width="11.3333333333333" style="153" customWidth="1"/>
    <col min="3340" max="3340" width="10.4416666666667" style="153" customWidth="1"/>
    <col min="3341" max="3341" width="13.5583333333333" style="153" customWidth="1"/>
    <col min="3342" max="3342" width="10.4416666666667" style="153" customWidth="1"/>
    <col min="3343" max="3346" width="11.6666666666667" style="153" customWidth="1"/>
    <col min="3347" max="3347" width="13.3333333333333" style="153" customWidth="1"/>
    <col min="3348" max="3348" width="13.5583333333333" style="153" customWidth="1"/>
    <col min="3349" max="3352" width="11.3333333333333" style="153" customWidth="1"/>
    <col min="3353" max="3353" width="13.5583333333333" style="153" customWidth="1"/>
    <col min="3354" max="3354" width="10.4416666666667" style="153" customWidth="1"/>
    <col min="3355" max="3355" width="11.3333333333333" style="153" customWidth="1"/>
    <col min="3356" max="3356" width="13.5583333333333" style="153" customWidth="1"/>
    <col min="3357" max="3357" width="4.44166666666667" style="153" customWidth="1"/>
    <col min="3358" max="3358" width="7.44166666666667" style="153" customWidth="1"/>
    <col min="3359" max="3359" width="5.55833333333333" style="153" customWidth="1"/>
    <col min="3360" max="3360" width="13.775" style="153" customWidth="1"/>
    <col min="3361" max="3361" width="13.5583333333333" style="153" customWidth="1"/>
    <col min="3362" max="3362" width="11.3333333333333" style="153" customWidth="1"/>
    <col min="3363" max="3363" width="10.5583333333333" style="153" customWidth="1"/>
    <col min="3364" max="3364" width="11.6666666666667" style="153" customWidth="1"/>
    <col min="3365" max="3365" width="13.5583333333333" style="153" customWidth="1"/>
    <col min="3366" max="3593" width="9.66666666666667" style="153"/>
    <col min="3594" max="3594" width="7.44166666666667" style="153" customWidth="1"/>
    <col min="3595" max="3595" width="11.3333333333333" style="153" customWidth="1"/>
    <col min="3596" max="3596" width="10.4416666666667" style="153" customWidth="1"/>
    <col min="3597" max="3597" width="13.5583333333333" style="153" customWidth="1"/>
    <col min="3598" max="3598" width="10.4416666666667" style="153" customWidth="1"/>
    <col min="3599" max="3602" width="11.6666666666667" style="153" customWidth="1"/>
    <col min="3603" max="3603" width="13.3333333333333" style="153" customWidth="1"/>
    <col min="3604" max="3604" width="13.5583333333333" style="153" customWidth="1"/>
    <col min="3605" max="3608" width="11.3333333333333" style="153" customWidth="1"/>
    <col min="3609" max="3609" width="13.5583333333333" style="153" customWidth="1"/>
    <col min="3610" max="3610" width="10.4416666666667" style="153" customWidth="1"/>
    <col min="3611" max="3611" width="11.3333333333333" style="153" customWidth="1"/>
    <col min="3612" max="3612" width="13.5583333333333" style="153" customWidth="1"/>
    <col min="3613" max="3613" width="4.44166666666667" style="153" customWidth="1"/>
    <col min="3614" max="3614" width="7.44166666666667" style="153" customWidth="1"/>
    <col min="3615" max="3615" width="5.55833333333333" style="153" customWidth="1"/>
    <col min="3616" max="3616" width="13.775" style="153" customWidth="1"/>
    <col min="3617" max="3617" width="13.5583333333333" style="153" customWidth="1"/>
    <col min="3618" max="3618" width="11.3333333333333" style="153" customWidth="1"/>
    <col min="3619" max="3619" width="10.5583333333333" style="153" customWidth="1"/>
    <col min="3620" max="3620" width="11.6666666666667" style="153" customWidth="1"/>
    <col min="3621" max="3621" width="13.5583333333333" style="153" customWidth="1"/>
    <col min="3622" max="3849" width="9.66666666666667" style="153"/>
    <col min="3850" max="3850" width="7.44166666666667" style="153" customWidth="1"/>
    <col min="3851" max="3851" width="11.3333333333333" style="153" customWidth="1"/>
    <col min="3852" max="3852" width="10.4416666666667" style="153" customWidth="1"/>
    <col min="3853" max="3853" width="13.5583333333333" style="153" customWidth="1"/>
    <col min="3854" max="3854" width="10.4416666666667" style="153" customWidth="1"/>
    <col min="3855" max="3858" width="11.6666666666667" style="153" customWidth="1"/>
    <col min="3859" max="3859" width="13.3333333333333" style="153" customWidth="1"/>
    <col min="3860" max="3860" width="13.5583333333333" style="153" customWidth="1"/>
    <col min="3861" max="3864" width="11.3333333333333" style="153" customWidth="1"/>
    <col min="3865" max="3865" width="13.5583333333333" style="153" customWidth="1"/>
    <col min="3866" max="3866" width="10.4416666666667" style="153" customWidth="1"/>
    <col min="3867" max="3867" width="11.3333333333333" style="153" customWidth="1"/>
    <col min="3868" max="3868" width="13.5583333333333" style="153" customWidth="1"/>
    <col min="3869" max="3869" width="4.44166666666667" style="153" customWidth="1"/>
    <col min="3870" max="3870" width="7.44166666666667" style="153" customWidth="1"/>
    <col min="3871" max="3871" width="5.55833333333333" style="153" customWidth="1"/>
    <col min="3872" max="3872" width="13.775" style="153" customWidth="1"/>
    <col min="3873" max="3873" width="13.5583333333333" style="153" customWidth="1"/>
    <col min="3874" max="3874" width="11.3333333333333" style="153" customWidth="1"/>
    <col min="3875" max="3875" width="10.5583333333333" style="153" customWidth="1"/>
    <col min="3876" max="3876" width="11.6666666666667" style="153" customWidth="1"/>
    <col min="3877" max="3877" width="13.5583333333333" style="153" customWidth="1"/>
    <col min="3878" max="4105" width="9.66666666666667" style="153"/>
    <col min="4106" max="4106" width="7.44166666666667" style="153" customWidth="1"/>
    <col min="4107" max="4107" width="11.3333333333333" style="153" customWidth="1"/>
    <col min="4108" max="4108" width="10.4416666666667" style="153" customWidth="1"/>
    <col min="4109" max="4109" width="13.5583333333333" style="153" customWidth="1"/>
    <col min="4110" max="4110" width="10.4416666666667" style="153" customWidth="1"/>
    <col min="4111" max="4114" width="11.6666666666667" style="153" customWidth="1"/>
    <col min="4115" max="4115" width="13.3333333333333" style="153" customWidth="1"/>
    <col min="4116" max="4116" width="13.5583333333333" style="153" customWidth="1"/>
    <col min="4117" max="4120" width="11.3333333333333" style="153" customWidth="1"/>
    <col min="4121" max="4121" width="13.5583333333333" style="153" customWidth="1"/>
    <col min="4122" max="4122" width="10.4416666666667" style="153" customWidth="1"/>
    <col min="4123" max="4123" width="11.3333333333333" style="153" customWidth="1"/>
    <col min="4124" max="4124" width="13.5583333333333" style="153" customWidth="1"/>
    <col min="4125" max="4125" width="4.44166666666667" style="153" customWidth="1"/>
    <col min="4126" max="4126" width="7.44166666666667" style="153" customWidth="1"/>
    <col min="4127" max="4127" width="5.55833333333333" style="153" customWidth="1"/>
    <col min="4128" max="4128" width="13.775" style="153" customWidth="1"/>
    <col min="4129" max="4129" width="13.5583333333333" style="153" customWidth="1"/>
    <col min="4130" max="4130" width="11.3333333333333" style="153" customWidth="1"/>
    <col min="4131" max="4131" width="10.5583333333333" style="153" customWidth="1"/>
    <col min="4132" max="4132" width="11.6666666666667" style="153" customWidth="1"/>
    <col min="4133" max="4133" width="13.5583333333333" style="153" customWidth="1"/>
    <col min="4134" max="4361" width="9.66666666666667" style="153"/>
    <col min="4362" max="4362" width="7.44166666666667" style="153" customWidth="1"/>
    <col min="4363" max="4363" width="11.3333333333333" style="153" customWidth="1"/>
    <col min="4364" max="4364" width="10.4416666666667" style="153" customWidth="1"/>
    <col min="4365" max="4365" width="13.5583333333333" style="153" customWidth="1"/>
    <col min="4366" max="4366" width="10.4416666666667" style="153" customWidth="1"/>
    <col min="4367" max="4370" width="11.6666666666667" style="153" customWidth="1"/>
    <col min="4371" max="4371" width="13.3333333333333" style="153" customWidth="1"/>
    <col min="4372" max="4372" width="13.5583333333333" style="153" customWidth="1"/>
    <col min="4373" max="4376" width="11.3333333333333" style="153" customWidth="1"/>
    <col min="4377" max="4377" width="13.5583333333333" style="153" customWidth="1"/>
    <col min="4378" max="4378" width="10.4416666666667" style="153" customWidth="1"/>
    <col min="4379" max="4379" width="11.3333333333333" style="153" customWidth="1"/>
    <col min="4380" max="4380" width="13.5583333333333" style="153" customWidth="1"/>
    <col min="4381" max="4381" width="4.44166666666667" style="153" customWidth="1"/>
    <col min="4382" max="4382" width="7.44166666666667" style="153" customWidth="1"/>
    <col min="4383" max="4383" width="5.55833333333333" style="153" customWidth="1"/>
    <col min="4384" max="4384" width="13.775" style="153" customWidth="1"/>
    <col min="4385" max="4385" width="13.5583333333333" style="153" customWidth="1"/>
    <col min="4386" max="4386" width="11.3333333333333" style="153" customWidth="1"/>
    <col min="4387" max="4387" width="10.5583333333333" style="153" customWidth="1"/>
    <col min="4388" max="4388" width="11.6666666666667" style="153" customWidth="1"/>
    <col min="4389" max="4389" width="13.5583333333333" style="153" customWidth="1"/>
    <col min="4390" max="4617" width="9.66666666666667" style="153"/>
    <col min="4618" max="4618" width="7.44166666666667" style="153" customWidth="1"/>
    <col min="4619" max="4619" width="11.3333333333333" style="153" customWidth="1"/>
    <col min="4620" max="4620" width="10.4416666666667" style="153" customWidth="1"/>
    <col min="4621" max="4621" width="13.5583333333333" style="153" customWidth="1"/>
    <col min="4622" max="4622" width="10.4416666666667" style="153" customWidth="1"/>
    <col min="4623" max="4626" width="11.6666666666667" style="153" customWidth="1"/>
    <col min="4627" max="4627" width="13.3333333333333" style="153" customWidth="1"/>
    <col min="4628" max="4628" width="13.5583333333333" style="153" customWidth="1"/>
    <col min="4629" max="4632" width="11.3333333333333" style="153" customWidth="1"/>
    <col min="4633" max="4633" width="13.5583333333333" style="153" customWidth="1"/>
    <col min="4634" max="4634" width="10.4416666666667" style="153" customWidth="1"/>
    <col min="4635" max="4635" width="11.3333333333333" style="153" customWidth="1"/>
    <col min="4636" max="4636" width="13.5583333333333" style="153" customWidth="1"/>
    <col min="4637" max="4637" width="4.44166666666667" style="153" customWidth="1"/>
    <col min="4638" max="4638" width="7.44166666666667" style="153" customWidth="1"/>
    <col min="4639" max="4639" width="5.55833333333333" style="153" customWidth="1"/>
    <col min="4640" max="4640" width="13.775" style="153" customWidth="1"/>
    <col min="4641" max="4641" width="13.5583333333333" style="153" customWidth="1"/>
    <col min="4642" max="4642" width="11.3333333333333" style="153" customWidth="1"/>
    <col min="4643" max="4643" width="10.5583333333333" style="153" customWidth="1"/>
    <col min="4644" max="4644" width="11.6666666666667" style="153" customWidth="1"/>
    <col min="4645" max="4645" width="13.5583333333333" style="153" customWidth="1"/>
    <col min="4646" max="4873" width="9.66666666666667" style="153"/>
    <col min="4874" max="4874" width="7.44166666666667" style="153" customWidth="1"/>
    <col min="4875" max="4875" width="11.3333333333333" style="153" customWidth="1"/>
    <col min="4876" max="4876" width="10.4416666666667" style="153" customWidth="1"/>
    <col min="4877" max="4877" width="13.5583333333333" style="153" customWidth="1"/>
    <col min="4878" max="4878" width="10.4416666666667" style="153" customWidth="1"/>
    <col min="4879" max="4882" width="11.6666666666667" style="153" customWidth="1"/>
    <col min="4883" max="4883" width="13.3333333333333" style="153" customWidth="1"/>
    <col min="4884" max="4884" width="13.5583333333333" style="153" customWidth="1"/>
    <col min="4885" max="4888" width="11.3333333333333" style="153" customWidth="1"/>
    <col min="4889" max="4889" width="13.5583333333333" style="153" customWidth="1"/>
    <col min="4890" max="4890" width="10.4416666666667" style="153" customWidth="1"/>
    <col min="4891" max="4891" width="11.3333333333333" style="153" customWidth="1"/>
    <col min="4892" max="4892" width="13.5583333333333" style="153" customWidth="1"/>
    <col min="4893" max="4893" width="4.44166666666667" style="153" customWidth="1"/>
    <col min="4894" max="4894" width="7.44166666666667" style="153" customWidth="1"/>
    <col min="4895" max="4895" width="5.55833333333333" style="153" customWidth="1"/>
    <col min="4896" max="4896" width="13.775" style="153" customWidth="1"/>
    <col min="4897" max="4897" width="13.5583333333333" style="153" customWidth="1"/>
    <col min="4898" max="4898" width="11.3333333333333" style="153" customWidth="1"/>
    <col min="4899" max="4899" width="10.5583333333333" style="153" customWidth="1"/>
    <col min="4900" max="4900" width="11.6666666666667" style="153" customWidth="1"/>
    <col min="4901" max="4901" width="13.5583333333333" style="153" customWidth="1"/>
    <col min="4902" max="5129" width="9.66666666666667" style="153"/>
    <col min="5130" max="5130" width="7.44166666666667" style="153" customWidth="1"/>
    <col min="5131" max="5131" width="11.3333333333333" style="153" customWidth="1"/>
    <col min="5132" max="5132" width="10.4416666666667" style="153" customWidth="1"/>
    <col min="5133" max="5133" width="13.5583333333333" style="153" customWidth="1"/>
    <col min="5134" max="5134" width="10.4416666666667" style="153" customWidth="1"/>
    <col min="5135" max="5138" width="11.6666666666667" style="153" customWidth="1"/>
    <col min="5139" max="5139" width="13.3333333333333" style="153" customWidth="1"/>
    <col min="5140" max="5140" width="13.5583333333333" style="153" customWidth="1"/>
    <col min="5141" max="5144" width="11.3333333333333" style="153" customWidth="1"/>
    <col min="5145" max="5145" width="13.5583333333333" style="153" customWidth="1"/>
    <col min="5146" max="5146" width="10.4416666666667" style="153" customWidth="1"/>
    <col min="5147" max="5147" width="11.3333333333333" style="153" customWidth="1"/>
    <col min="5148" max="5148" width="13.5583333333333" style="153" customWidth="1"/>
    <col min="5149" max="5149" width="4.44166666666667" style="153" customWidth="1"/>
    <col min="5150" max="5150" width="7.44166666666667" style="153" customWidth="1"/>
    <col min="5151" max="5151" width="5.55833333333333" style="153" customWidth="1"/>
    <col min="5152" max="5152" width="13.775" style="153" customWidth="1"/>
    <col min="5153" max="5153" width="13.5583333333333" style="153" customWidth="1"/>
    <col min="5154" max="5154" width="11.3333333333333" style="153" customWidth="1"/>
    <col min="5155" max="5155" width="10.5583333333333" style="153" customWidth="1"/>
    <col min="5156" max="5156" width="11.6666666666667" style="153" customWidth="1"/>
    <col min="5157" max="5157" width="13.5583333333333" style="153" customWidth="1"/>
    <col min="5158" max="5385" width="9.66666666666667" style="153"/>
    <col min="5386" max="5386" width="7.44166666666667" style="153" customWidth="1"/>
    <col min="5387" max="5387" width="11.3333333333333" style="153" customWidth="1"/>
    <col min="5388" max="5388" width="10.4416666666667" style="153" customWidth="1"/>
    <col min="5389" max="5389" width="13.5583333333333" style="153" customWidth="1"/>
    <col min="5390" max="5390" width="10.4416666666667" style="153" customWidth="1"/>
    <col min="5391" max="5394" width="11.6666666666667" style="153" customWidth="1"/>
    <col min="5395" max="5395" width="13.3333333333333" style="153" customWidth="1"/>
    <col min="5396" max="5396" width="13.5583333333333" style="153" customWidth="1"/>
    <col min="5397" max="5400" width="11.3333333333333" style="153" customWidth="1"/>
    <col min="5401" max="5401" width="13.5583333333333" style="153" customWidth="1"/>
    <col min="5402" max="5402" width="10.4416666666667" style="153" customWidth="1"/>
    <col min="5403" max="5403" width="11.3333333333333" style="153" customWidth="1"/>
    <col min="5404" max="5404" width="13.5583333333333" style="153" customWidth="1"/>
    <col min="5405" max="5405" width="4.44166666666667" style="153" customWidth="1"/>
    <col min="5406" max="5406" width="7.44166666666667" style="153" customWidth="1"/>
    <col min="5407" max="5407" width="5.55833333333333" style="153" customWidth="1"/>
    <col min="5408" max="5408" width="13.775" style="153" customWidth="1"/>
    <col min="5409" max="5409" width="13.5583333333333" style="153" customWidth="1"/>
    <col min="5410" max="5410" width="11.3333333333333" style="153" customWidth="1"/>
    <col min="5411" max="5411" width="10.5583333333333" style="153" customWidth="1"/>
    <col min="5412" max="5412" width="11.6666666666667" style="153" customWidth="1"/>
    <col min="5413" max="5413" width="13.5583333333333" style="153" customWidth="1"/>
    <col min="5414" max="5641" width="9.66666666666667" style="153"/>
    <col min="5642" max="5642" width="7.44166666666667" style="153" customWidth="1"/>
    <col min="5643" max="5643" width="11.3333333333333" style="153" customWidth="1"/>
    <col min="5644" max="5644" width="10.4416666666667" style="153" customWidth="1"/>
    <col min="5645" max="5645" width="13.5583333333333" style="153" customWidth="1"/>
    <col min="5646" max="5646" width="10.4416666666667" style="153" customWidth="1"/>
    <col min="5647" max="5650" width="11.6666666666667" style="153" customWidth="1"/>
    <col min="5651" max="5651" width="13.3333333333333" style="153" customWidth="1"/>
    <col min="5652" max="5652" width="13.5583333333333" style="153" customWidth="1"/>
    <col min="5653" max="5656" width="11.3333333333333" style="153" customWidth="1"/>
    <col min="5657" max="5657" width="13.5583333333333" style="153" customWidth="1"/>
    <col min="5658" max="5658" width="10.4416666666667" style="153" customWidth="1"/>
    <col min="5659" max="5659" width="11.3333333333333" style="153" customWidth="1"/>
    <col min="5660" max="5660" width="13.5583333333333" style="153" customWidth="1"/>
    <col min="5661" max="5661" width="4.44166666666667" style="153" customWidth="1"/>
    <col min="5662" max="5662" width="7.44166666666667" style="153" customWidth="1"/>
    <col min="5663" max="5663" width="5.55833333333333" style="153" customWidth="1"/>
    <col min="5664" max="5664" width="13.775" style="153" customWidth="1"/>
    <col min="5665" max="5665" width="13.5583333333333" style="153" customWidth="1"/>
    <col min="5666" max="5666" width="11.3333333333333" style="153" customWidth="1"/>
    <col min="5667" max="5667" width="10.5583333333333" style="153" customWidth="1"/>
    <col min="5668" max="5668" width="11.6666666666667" style="153" customWidth="1"/>
    <col min="5669" max="5669" width="13.5583333333333" style="153" customWidth="1"/>
    <col min="5670" max="5897" width="9.66666666666667" style="153"/>
    <col min="5898" max="5898" width="7.44166666666667" style="153" customWidth="1"/>
    <col min="5899" max="5899" width="11.3333333333333" style="153" customWidth="1"/>
    <col min="5900" max="5900" width="10.4416666666667" style="153" customWidth="1"/>
    <col min="5901" max="5901" width="13.5583333333333" style="153" customWidth="1"/>
    <col min="5902" max="5902" width="10.4416666666667" style="153" customWidth="1"/>
    <col min="5903" max="5906" width="11.6666666666667" style="153" customWidth="1"/>
    <col min="5907" max="5907" width="13.3333333333333" style="153" customWidth="1"/>
    <col min="5908" max="5908" width="13.5583333333333" style="153" customWidth="1"/>
    <col min="5909" max="5912" width="11.3333333333333" style="153" customWidth="1"/>
    <col min="5913" max="5913" width="13.5583333333333" style="153" customWidth="1"/>
    <col min="5914" max="5914" width="10.4416666666667" style="153" customWidth="1"/>
    <col min="5915" max="5915" width="11.3333333333333" style="153" customWidth="1"/>
    <col min="5916" max="5916" width="13.5583333333333" style="153" customWidth="1"/>
    <col min="5917" max="5917" width="4.44166666666667" style="153" customWidth="1"/>
    <col min="5918" max="5918" width="7.44166666666667" style="153" customWidth="1"/>
    <col min="5919" max="5919" width="5.55833333333333" style="153" customWidth="1"/>
    <col min="5920" max="5920" width="13.775" style="153" customWidth="1"/>
    <col min="5921" max="5921" width="13.5583333333333" style="153" customWidth="1"/>
    <col min="5922" max="5922" width="11.3333333333333" style="153" customWidth="1"/>
    <col min="5923" max="5923" width="10.5583333333333" style="153" customWidth="1"/>
    <col min="5924" max="5924" width="11.6666666666667" style="153" customWidth="1"/>
    <col min="5925" max="5925" width="13.5583333333333" style="153" customWidth="1"/>
    <col min="5926" max="6153" width="9.66666666666667" style="153"/>
    <col min="6154" max="6154" width="7.44166666666667" style="153" customWidth="1"/>
    <col min="6155" max="6155" width="11.3333333333333" style="153" customWidth="1"/>
    <col min="6156" max="6156" width="10.4416666666667" style="153" customWidth="1"/>
    <col min="6157" max="6157" width="13.5583333333333" style="153" customWidth="1"/>
    <col min="6158" max="6158" width="10.4416666666667" style="153" customWidth="1"/>
    <col min="6159" max="6162" width="11.6666666666667" style="153" customWidth="1"/>
    <col min="6163" max="6163" width="13.3333333333333" style="153" customWidth="1"/>
    <col min="6164" max="6164" width="13.5583333333333" style="153" customWidth="1"/>
    <col min="6165" max="6168" width="11.3333333333333" style="153" customWidth="1"/>
    <col min="6169" max="6169" width="13.5583333333333" style="153" customWidth="1"/>
    <col min="6170" max="6170" width="10.4416666666667" style="153" customWidth="1"/>
    <col min="6171" max="6171" width="11.3333333333333" style="153" customWidth="1"/>
    <col min="6172" max="6172" width="13.5583333333333" style="153" customWidth="1"/>
    <col min="6173" max="6173" width="4.44166666666667" style="153" customWidth="1"/>
    <col min="6174" max="6174" width="7.44166666666667" style="153" customWidth="1"/>
    <col min="6175" max="6175" width="5.55833333333333" style="153" customWidth="1"/>
    <col min="6176" max="6176" width="13.775" style="153" customWidth="1"/>
    <col min="6177" max="6177" width="13.5583333333333" style="153" customWidth="1"/>
    <col min="6178" max="6178" width="11.3333333333333" style="153" customWidth="1"/>
    <col min="6179" max="6179" width="10.5583333333333" style="153" customWidth="1"/>
    <col min="6180" max="6180" width="11.6666666666667" style="153" customWidth="1"/>
    <col min="6181" max="6181" width="13.5583333333333" style="153" customWidth="1"/>
    <col min="6182" max="6409" width="9.66666666666667" style="153"/>
    <col min="6410" max="6410" width="7.44166666666667" style="153" customWidth="1"/>
    <col min="6411" max="6411" width="11.3333333333333" style="153" customWidth="1"/>
    <col min="6412" max="6412" width="10.4416666666667" style="153" customWidth="1"/>
    <col min="6413" max="6413" width="13.5583333333333" style="153" customWidth="1"/>
    <col min="6414" max="6414" width="10.4416666666667" style="153" customWidth="1"/>
    <col min="6415" max="6418" width="11.6666666666667" style="153" customWidth="1"/>
    <col min="6419" max="6419" width="13.3333333333333" style="153" customWidth="1"/>
    <col min="6420" max="6420" width="13.5583333333333" style="153" customWidth="1"/>
    <col min="6421" max="6424" width="11.3333333333333" style="153" customWidth="1"/>
    <col min="6425" max="6425" width="13.5583333333333" style="153" customWidth="1"/>
    <col min="6426" max="6426" width="10.4416666666667" style="153" customWidth="1"/>
    <col min="6427" max="6427" width="11.3333333333333" style="153" customWidth="1"/>
    <col min="6428" max="6428" width="13.5583333333333" style="153" customWidth="1"/>
    <col min="6429" max="6429" width="4.44166666666667" style="153" customWidth="1"/>
    <col min="6430" max="6430" width="7.44166666666667" style="153" customWidth="1"/>
    <col min="6431" max="6431" width="5.55833333333333" style="153" customWidth="1"/>
    <col min="6432" max="6432" width="13.775" style="153" customWidth="1"/>
    <col min="6433" max="6433" width="13.5583333333333" style="153" customWidth="1"/>
    <col min="6434" max="6434" width="11.3333333333333" style="153" customWidth="1"/>
    <col min="6435" max="6435" width="10.5583333333333" style="153" customWidth="1"/>
    <col min="6436" max="6436" width="11.6666666666667" style="153" customWidth="1"/>
    <col min="6437" max="6437" width="13.5583333333333" style="153" customWidth="1"/>
    <col min="6438" max="6665" width="9.66666666666667" style="153"/>
    <col min="6666" max="6666" width="7.44166666666667" style="153" customWidth="1"/>
    <col min="6667" max="6667" width="11.3333333333333" style="153" customWidth="1"/>
    <col min="6668" max="6668" width="10.4416666666667" style="153" customWidth="1"/>
    <col min="6669" max="6669" width="13.5583333333333" style="153" customWidth="1"/>
    <col min="6670" max="6670" width="10.4416666666667" style="153" customWidth="1"/>
    <col min="6671" max="6674" width="11.6666666666667" style="153" customWidth="1"/>
    <col min="6675" max="6675" width="13.3333333333333" style="153" customWidth="1"/>
    <col min="6676" max="6676" width="13.5583333333333" style="153" customWidth="1"/>
    <col min="6677" max="6680" width="11.3333333333333" style="153" customWidth="1"/>
    <col min="6681" max="6681" width="13.5583333333333" style="153" customWidth="1"/>
    <col min="6682" max="6682" width="10.4416666666667" style="153" customWidth="1"/>
    <col min="6683" max="6683" width="11.3333333333333" style="153" customWidth="1"/>
    <col min="6684" max="6684" width="13.5583333333333" style="153" customWidth="1"/>
    <col min="6685" max="6685" width="4.44166666666667" style="153" customWidth="1"/>
    <col min="6686" max="6686" width="7.44166666666667" style="153" customWidth="1"/>
    <col min="6687" max="6687" width="5.55833333333333" style="153" customWidth="1"/>
    <col min="6688" max="6688" width="13.775" style="153" customWidth="1"/>
    <col min="6689" max="6689" width="13.5583333333333" style="153" customWidth="1"/>
    <col min="6690" max="6690" width="11.3333333333333" style="153" customWidth="1"/>
    <col min="6691" max="6691" width="10.5583333333333" style="153" customWidth="1"/>
    <col min="6692" max="6692" width="11.6666666666667" style="153" customWidth="1"/>
    <col min="6693" max="6693" width="13.5583333333333" style="153" customWidth="1"/>
    <col min="6694" max="6921" width="9.66666666666667" style="153"/>
    <col min="6922" max="6922" width="7.44166666666667" style="153" customWidth="1"/>
    <col min="6923" max="6923" width="11.3333333333333" style="153" customWidth="1"/>
    <col min="6924" max="6924" width="10.4416666666667" style="153" customWidth="1"/>
    <col min="6925" max="6925" width="13.5583333333333" style="153" customWidth="1"/>
    <col min="6926" max="6926" width="10.4416666666667" style="153" customWidth="1"/>
    <col min="6927" max="6930" width="11.6666666666667" style="153" customWidth="1"/>
    <col min="6931" max="6931" width="13.3333333333333" style="153" customWidth="1"/>
    <col min="6932" max="6932" width="13.5583333333333" style="153" customWidth="1"/>
    <col min="6933" max="6936" width="11.3333333333333" style="153" customWidth="1"/>
    <col min="6937" max="6937" width="13.5583333333333" style="153" customWidth="1"/>
    <col min="6938" max="6938" width="10.4416666666667" style="153" customWidth="1"/>
    <col min="6939" max="6939" width="11.3333333333333" style="153" customWidth="1"/>
    <col min="6940" max="6940" width="13.5583333333333" style="153" customWidth="1"/>
    <col min="6941" max="6941" width="4.44166666666667" style="153" customWidth="1"/>
    <col min="6942" max="6942" width="7.44166666666667" style="153" customWidth="1"/>
    <col min="6943" max="6943" width="5.55833333333333" style="153" customWidth="1"/>
    <col min="6944" max="6944" width="13.775" style="153" customWidth="1"/>
    <col min="6945" max="6945" width="13.5583333333333" style="153" customWidth="1"/>
    <col min="6946" max="6946" width="11.3333333333333" style="153" customWidth="1"/>
    <col min="6947" max="6947" width="10.5583333333333" style="153" customWidth="1"/>
    <col min="6948" max="6948" width="11.6666666666667" style="153" customWidth="1"/>
    <col min="6949" max="6949" width="13.5583333333333" style="153" customWidth="1"/>
    <col min="6950" max="7177" width="9.66666666666667" style="153"/>
    <col min="7178" max="7178" width="7.44166666666667" style="153" customWidth="1"/>
    <col min="7179" max="7179" width="11.3333333333333" style="153" customWidth="1"/>
    <col min="7180" max="7180" width="10.4416666666667" style="153" customWidth="1"/>
    <col min="7181" max="7181" width="13.5583333333333" style="153" customWidth="1"/>
    <col min="7182" max="7182" width="10.4416666666667" style="153" customWidth="1"/>
    <col min="7183" max="7186" width="11.6666666666667" style="153" customWidth="1"/>
    <col min="7187" max="7187" width="13.3333333333333" style="153" customWidth="1"/>
    <col min="7188" max="7188" width="13.5583333333333" style="153" customWidth="1"/>
    <col min="7189" max="7192" width="11.3333333333333" style="153" customWidth="1"/>
    <col min="7193" max="7193" width="13.5583333333333" style="153" customWidth="1"/>
    <col min="7194" max="7194" width="10.4416666666667" style="153" customWidth="1"/>
    <col min="7195" max="7195" width="11.3333333333333" style="153" customWidth="1"/>
    <col min="7196" max="7196" width="13.5583333333333" style="153" customWidth="1"/>
    <col min="7197" max="7197" width="4.44166666666667" style="153" customWidth="1"/>
    <col min="7198" max="7198" width="7.44166666666667" style="153" customWidth="1"/>
    <col min="7199" max="7199" width="5.55833333333333" style="153" customWidth="1"/>
    <col min="7200" max="7200" width="13.775" style="153" customWidth="1"/>
    <col min="7201" max="7201" width="13.5583333333333" style="153" customWidth="1"/>
    <col min="7202" max="7202" width="11.3333333333333" style="153" customWidth="1"/>
    <col min="7203" max="7203" width="10.5583333333333" style="153" customWidth="1"/>
    <col min="7204" max="7204" width="11.6666666666667" style="153" customWidth="1"/>
    <col min="7205" max="7205" width="13.5583333333333" style="153" customWidth="1"/>
    <col min="7206" max="7433" width="9.66666666666667" style="153"/>
    <col min="7434" max="7434" width="7.44166666666667" style="153" customWidth="1"/>
    <col min="7435" max="7435" width="11.3333333333333" style="153" customWidth="1"/>
    <col min="7436" max="7436" width="10.4416666666667" style="153" customWidth="1"/>
    <col min="7437" max="7437" width="13.5583333333333" style="153" customWidth="1"/>
    <col min="7438" max="7438" width="10.4416666666667" style="153" customWidth="1"/>
    <col min="7439" max="7442" width="11.6666666666667" style="153" customWidth="1"/>
    <col min="7443" max="7443" width="13.3333333333333" style="153" customWidth="1"/>
    <col min="7444" max="7444" width="13.5583333333333" style="153" customWidth="1"/>
    <col min="7445" max="7448" width="11.3333333333333" style="153" customWidth="1"/>
    <col min="7449" max="7449" width="13.5583333333333" style="153" customWidth="1"/>
    <col min="7450" max="7450" width="10.4416666666667" style="153" customWidth="1"/>
    <col min="7451" max="7451" width="11.3333333333333" style="153" customWidth="1"/>
    <col min="7452" max="7452" width="13.5583333333333" style="153" customWidth="1"/>
    <col min="7453" max="7453" width="4.44166666666667" style="153" customWidth="1"/>
    <col min="7454" max="7454" width="7.44166666666667" style="153" customWidth="1"/>
    <col min="7455" max="7455" width="5.55833333333333" style="153" customWidth="1"/>
    <col min="7456" max="7456" width="13.775" style="153" customWidth="1"/>
    <col min="7457" max="7457" width="13.5583333333333" style="153" customWidth="1"/>
    <col min="7458" max="7458" width="11.3333333333333" style="153" customWidth="1"/>
    <col min="7459" max="7459" width="10.5583333333333" style="153" customWidth="1"/>
    <col min="7460" max="7460" width="11.6666666666667" style="153" customWidth="1"/>
    <col min="7461" max="7461" width="13.5583333333333" style="153" customWidth="1"/>
    <col min="7462" max="7689" width="9.66666666666667" style="153"/>
    <col min="7690" max="7690" width="7.44166666666667" style="153" customWidth="1"/>
    <col min="7691" max="7691" width="11.3333333333333" style="153" customWidth="1"/>
    <col min="7692" max="7692" width="10.4416666666667" style="153" customWidth="1"/>
    <col min="7693" max="7693" width="13.5583333333333" style="153" customWidth="1"/>
    <col min="7694" max="7694" width="10.4416666666667" style="153" customWidth="1"/>
    <col min="7695" max="7698" width="11.6666666666667" style="153" customWidth="1"/>
    <col min="7699" max="7699" width="13.3333333333333" style="153" customWidth="1"/>
    <col min="7700" max="7700" width="13.5583333333333" style="153" customWidth="1"/>
    <col min="7701" max="7704" width="11.3333333333333" style="153" customWidth="1"/>
    <col min="7705" max="7705" width="13.5583333333333" style="153" customWidth="1"/>
    <col min="7706" max="7706" width="10.4416666666667" style="153" customWidth="1"/>
    <col min="7707" max="7707" width="11.3333333333333" style="153" customWidth="1"/>
    <col min="7708" max="7708" width="13.5583333333333" style="153" customWidth="1"/>
    <col min="7709" max="7709" width="4.44166666666667" style="153" customWidth="1"/>
    <col min="7710" max="7710" width="7.44166666666667" style="153" customWidth="1"/>
    <col min="7711" max="7711" width="5.55833333333333" style="153" customWidth="1"/>
    <col min="7712" max="7712" width="13.775" style="153" customWidth="1"/>
    <col min="7713" max="7713" width="13.5583333333333" style="153" customWidth="1"/>
    <col min="7714" max="7714" width="11.3333333333333" style="153" customWidth="1"/>
    <col min="7715" max="7715" width="10.5583333333333" style="153" customWidth="1"/>
    <col min="7716" max="7716" width="11.6666666666667" style="153" customWidth="1"/>
    <col min="7717" max="7717" width="13.5583333333333" style="153" customWidth="1"/>
    <col min="7718" max="7945" width="9.66666666666667" style="153"/>
    <col min="7946" max="7946" width="7.44166666666667" style="153" customWidth="1"/>
    <col min="7947" max="7947" width="11.3333333333333" style="153" customWidth="1"/>
    <col min="7948" max="7948" width="10.4416666666667" style="153" customWidth="1"/>
    <col min="7949" max="7949" width="13.5583333333333" style="153" customWidth="1"/>
    <col min="7950" max="7950" width="10.4416666666667" style="153" customWidth="1"/>
    <col min="7951" max="7954" width="11.6666666666667" style="153" customWidth="1"/>
    <col min="7955" max="7955" width="13.3333333333333" style="153" customWidth="1"/>
    <col min="7956" max="7956" width="13.5583333333333" style="153" customWidth="1"/>
    <col min="7957" max="7960" width="11.3333333333333" style="153" customWidth="1"/>
    <col min="7961" max="7961" width="13.5583333333333" style="153" customWidth="1"/>
    <col min="7962" max="7962" width="10.4416666666667" style="153" customWidth="1"/>
    <col min="7963" max="7963" width="11.3333333333333" style="153" customWidth="1"/>
    <col min="7964" max="7964" width="13.5583333333333" style="153" customWidth="1"/>
    <col min="7965" max="7965" width="4.44166666666667" style="153" customWidth="1"/>
    <col min="7966" max="7966" width="7.44166666666667" style="153" customWidth="1"/>
    <col min="7967" max="7967" width="5.55833333333333" style="153" customWidth="1"/>
    <col min="7968" max="7968" width="13.775" style="153" customWidth="1"/>
    <col min="7969" max="7969" width="13.5583333333333" style="153" customWidth="1"/>
    <col min="7970" max="7970" width="11.3333333333333" style="153" customWidth="1"/>
    <col min="7971" max="7971" width="10.5583333333333" style="153" customWidth="1"/>
    <col min="7972" max="7972" width="11.6666666666667" style="153" customWidth="1"/>
    <col min="7973" max="7973" width="13.5583333333333" style="153" customWidth="1"/>
    <col min="7974" max="8201" width="9.66666666666667" style="153"/>
    <col min="8202" max="8202" width="7.44166666666667" style="153" customWidth="1"/>
    <col min="8203" max="8203" width="11.3333333333333" style="153" customWidth="1"/>
    <col min="8204" max="8204" width="10.4416666666667" style="153" customWidth="1"/>
    <col min="8205" max="8205" width="13.5583333333333" style="153" customWidth="1"/>
    <col min="8206" max="8206" width="10.4416666666667" style="153" customWidth="1"/>
    <col min="8207" max="8210" width="11.6666666666667" style="153" customWidth="1"/>
    <col min="8211" max="8211" width="13.3333333333333" style="153" customWidth="1"/>
    <col min="8212" max="8212" width="13.5583333333333" style="153" customWidth="1"/>
    <col min="8213" max="8216" width="11.3333333333333" style="153" customWidth="1"/>
    <col min="8217" max="8217" width="13.5583333333333" style="153" customWidth="1"/>
    <col min="8218" max="8218" width="10.4416666666667" style="153" customWidth="1"/>
    <col min="8219" max="8219" width="11.3333333333333" style="153" customWidth="1"/>
    <col min="8220" max="8220" width="13.5583333333333" style="153" customWidth="1"/>
    <col min="8221" max="8221" width="4.44166666666667" style="153" customWidth="1"/>
    <col min="8222" max="8222" width="7.44166666666667" style="153" customWidth="1"/>
    <col min="8223" max="8223" width="5.55833333333333" style="153" customWidth="1"/>
    <col min="8224" max="8224" width="13.775" style="153" customWidth="1"/>
    <col min="8225" max="8225" width="13.5583333333333" style="153" customWidth="1"/>
    <col min="8226" max="8226" width="11.3333333333333" style="153" customWidth="1"/>
    <col min="8227" max="8227" width="10.5583333333333" style="153" customWidth="1"/>
    <col min="8228" max="8228" width="11.6666666666667" style="153" customWidth="1"/>
    <col min="8229" max="8229" width="13.5583333333333" style="153" customWidth="1"/>
    <col min="8230" max="8457" width="9.66666666666667" style="153"/>
    <col min="8458" max="8458" width="7.44166666666667" style="153" customWidth="1"/>
    <col min="8459" max="8459" width="11.3333333333333" style="153" customWidth="1"/>
    <col min="8460" max="8460" width="10.4416666666667" style="153" customWidth="1"/>
    <col min="8461" max="8461" width="13.5583333333333" style="153" customWidth="1"/>
    <col min="8462" max="8462" width="10.4416666666667" style="153" customWidth="1"/>
    <col min="8463" max="8466" width="11.6666666666667" style="153" customWidth="1"/>
    <col min="8467" max="8467" width="13.3333333333333" style="153" customWidth="1"/>
    <col min="8468" max="8468" width="13.5583333333333" style="153" customWidth="1"/>
    <col min="8469" max="8472" width="11.3333333333333" style="153" customWidth="1"/>
    <col min="8473" max="8473" width="13.5583333333333" style="153" customWidth="1"/>
    <col min="8474" max="8474" width="10.4416666666667" style="153" customWidth="1"/>
    <col min="8475" max="8475" width="11.3333333333333" style="153" customWidth="1"/>
    <col min="8476" max="8476" width="13.5583333333333" style="153" customWidth="1"/>
    <col min="8477" max="8477" width="4.44166666666667" style="153" customWidth="1"/>
    <col min="8478" max="8478" width="7.44166666666667" style="153" customWidth="1"/>
    <col min="8479" max="8479" width="5.55833333333333" style="153" customWidth="1"/>
    <col min="8480" max="8480" width="13.775" style="153" customWidth="1"/>
    <col min="8481" max="8481" width="13.5583333333333" style="153" customWidth="1"/>
    <col min="8482" max="8482" width="11.3333333333333" style="153" customWidth="1"/>
    <col min="8483" max="8483" width="10.5583333333333" style="153" customWidth="1"/>
    <col min="8484" max="8484" width="11.6666666666667" style="153" customWidth="1"/>
    <col min="8485" max="8485" width="13.5583333333333" style="153" customWidth="1"/>
    <col min="8486" max="8713" width="9.66666666666667" style="153"/>
    <col min="8714" max="8714" width="7.44166666666667" style="153" customWidth="1"/>
    <col min="8715" max="8715" width="11.3333333333333" style="153" customWidth="1"/>
    <col min="8716" max="8716" width="10.4416666666667" style="153" customWidth="1"/>
    <col min="8717" max="8717" width="13.5583333333333" style="153" customWidth="1"/>
    <col min="8718" max="8718" width="10.4416666666667" style="153" customWidth="1"/>
    <col min="8719" max="8722" width="11.6666666666667" style="153" customWidth="1"/>
    <col min="8723" max="8723" width="13.3333333333333" style="153" customWidth="1"/>
    <col min="8724" max="8724" width="13.5583333333333" style="153" customWidth="1"/>
    <col min="8725" max="8728" width="11.3333333333333" style="153" customWidth="1"/>
    <col min="8729" max="8729" width="13.5583333333333" style="153" customWidth="1"/>
    <col min="8730" max="8730" width="10.4416666666667" style="153" customWidth="1"/>
    <col min="8731" max="8731" width="11.3333333333333" style="153" customWidth="1"/>
    <col min="8732" max="8732" width="13.5583333333333" style="153" customWidth="1"/>
    <col min="8733" max="8733" width="4.44166666666667" style="153" customWidth="1"/>
    <col min="8734" max="8734" width="7.44166666666667" style="153" customWidth="1"/>
    <col min="8735" max="8735" width="5.55833333333333" style="153" customWidth="1"/>
    <col min="8736" max="8736" width="13.775" style="153" customWidth="1"/>
    <col min="8737" max="8737" width="13.5583333333333" style="153" customWidth="1"/>
    <col min="8738" max="8738" width="11.3333333333333" style="153" customWidth="1"/>
    <col min="8739" max="8739" width="10.5583333333333" style="153" customWidth="1"/>
    <col min="8740" max="8740" width="11.6666666666667" style="153" customWidth="1"/>
    <col min="8741" max="8741" width="13.5583333333333" style="153" customWidth="1"/>
    <col min="8742" max="8969" width="9.66666666666667" style="153"/>
    <col min="8970" max="8970" width="7.44166666666667" style="153" customWidth="1"/>
    <col min="8971" max="8971" width="11.3333333333333" style="153" customWidth="1"/>
    <col min="8972" max="8972" width="10.4416666666667" style="153" customWidth="1"/>
    <col min="8973" max="8973" width="13.5583333333333" style="153" customWidth="1"/>
    <col min="8974" max="8974" width="10.4416666666667" style="153" customWidth="1"/>
    <col min="8975" max="8978" width="11.6666666666667" style="153" customWidth="1"/>
    <col min="8979" max="8979" width="13.3333333333333" style="153" customWidth="1"/>
    <col min="8980" max="8980" width="13.5583333333333" style="153" customWidth="1"/>
    <col min="8981" max="8984" width="11.3333333333333" style="153" customWidth="1"/>
    <col min="8985" max="8985" width="13.5583333333333" style="153" customWidth="1"/>
    <col min="8986" max="8986" width="10.4416666666667" style="153" customWidth="1"/>
    <col min="8987" max="8987" width="11.3333333333333" style="153" customWidth="1"/>
    <col min="8988" max="8988" width="13.5583333333333" style="153" customWidth="1"/>
    <col min="8989" max="8989" width="4.44166666666667" style="153" customWidth="1"/>
    <col min="8990" max="8990" width="7.44166666666667" style="153" customWidth="1"/>
    <col min="8991" max="8991" width="5.55833333333333" style="153" customWidth="1"/>
    <col min="8992" max="8992" width="13.775" style="153" customWidth="1"/>
    <col min="8993" max="8993" width="13.5583333333333" style="153" customWidth="1"/>
    <col min="8994" max="8994" width="11.3333333333333" style="153" customWidth="1"/>
    <col min="8995" max="8995" width="10.5583333333333" style="153" customWidth="1"/>
    <col min="8996" max="8996" width="11.6666666666667" style="153" customWidth="1"/>
    <col min="8997" max="8997" width="13.5583333333333" style="153" customWidth="1"/>
    <col min="8998" max="9225" width="9.66666666666667" style="153"/>
    <col min="9226" max="9226" width="7.44166666666667" style="153" customWidth="1"/>
    <col min="9227" max="9227" width="11.3333333333333" style="153" customWidth="1"/>
    <col min="9228" max="9228" width="10.4416666666667" style="153" customWidth="1"/>
    <col min="9229" max="9229" width="13.5583333333333" style="153" customWidth="1"/>
    <col min="9230" max="9230" width="10.4416666666667" style="153" customWidth="1"/>
    <col min="9231" max="9234" width="11.6666666666667" style="153" customWidth="1"/>
    <col min="9235" max="9235" width="13.3333333333333" style="153" customWidth="1"/>
    <col min="9236" max="9236" width="13.5583333333333" style="153" customWidth="1"/>
    <col min="9237" max="9240" width="11.3333333333333" style="153" customWidth="1"/>
    <col min="9241" max="9241" width="13.5583333333333" style="153" customWidth="1"/>
    <col min="9242" max="9242" width="10.4416666666667" style="153" customWidth="1"/>
    <col min="9243" max="9243" width="11.3333333333333" style="153" customWidth="1"/>
    <col min="9244" max="9244" width="13.5583333333333" style="153" customWidth="1"/>
    <col min="9245" max="9245" width="4.44166666666667" style="153" customWidth="1"/>
    <col min="9246" max="9246" width="7.44166666666667" style="153" customWidth="1"/>
    <col min="9247" max="9247" width="5.55833333333333" style="153" customWidth="1"/>
    <col min="9248" max="9248" width="13.775" style="153" customWidth="1"/>
    <col min="9249" max="9249" width="13.5583333333333" style="153" customWidth="1"/>
    <col min="9250" max="9250" width="11.3333333333333" style="153" customWidth="1"/>
    <col min="9251" max="9251" width="10.5583333333333" style="153" customWidth="1"/>
    <col min="9252" max="9252" width="11.6666666666667" style="153" customWidth="1"/>
    <col min="9253" max="9253" width="13.5583333333333" style="153" customWidth="1"/>
    <col min="9254" max="9481" width="9.66666666666667" style="153"/>
    <col min="9482" max="9482" width="7.44166666666667" style="153" customWidth="1"/>
    <col min="9483" max="9483" width="11.3333333333333" style="153" customWidth="1"/>
    <col min="9484" max="9484" width="10.4416666666667" style="153" customWidth="1"/>
    <col min="9485" max="9485" width="13.5583333333333" style="153" customWidth="1"/>
    <col min="9486" max="9486" width="10.4416666666667" style="153" customWidth="1"/>
    <col min="9487" max="9490" width="11.6666666666667" style="153" customWidth="1"/>
    <col min="9491" max="9491" width="13.3333333333333" style="153" customWidth="1"/>
    <col min="9492" max="9492" width="13.5583333333333" style="153" customWidth="1"/>
    <col min="9493" max="9496" width="11.3333333333333" style="153" customWidth="1"/>
    <col min="9497" max="9497" width="13.5583333333333" style="153" customWidth="1"/>
    <col min="9498" max="9498" width="10.4416666666667" style="153" customWidth="1"/>
    <col min="9499" max="9499" width="11.3333333333333" style="153" customWidth="1"/>
    <col min="9500" max="9500" width="13.5583333333333" style="153" customWidth="1"/>
    <col min="9501" max="9501" width="4.44166666666667" style="153" customWidth="1"/>
    <col min="9502" max="9502" width="7.44166666666667" style="153" customWidth="1"/>
    <col min="9503" max="9503" width="5.55833333333333" style="153" customWidth="1"/>
    <col min="9504" max="9504" width="13.775" style="153" customWidth="1"/>
    <col min="9505" max="9505" width="13.5583333333333" style="153" customWidth="1"/>
    <col min="9506" max="9506" width="11.3333333333333" style="153" customWidth="1"/>
    <col min="9507" max="9507" width="10.5583333333333" style="153" customWidth="1"/>
    <col min="9508" max="9508" width="11.6666666666667" style="153" customWidth="1"/>
    <col min="9509" max="9509" width="13.5583333333333" style="153" customWidth="1"/>
    <col min="9510" max="9737" width="9.66666666666667" style="153"/>
    <col min="9738" max="9738" width="7.44166666666667" style="153" customWidth="1"/>
    <col min="9739" max="9739" width="11.3333333333333" style="153" customWidth="1"/>
    <col min="9740" max="9740" width="10.4416666666667" style="153" customWidth="1"/>
    <col min="9741" max="9741" width="13.5583333333333" style="153" customWidth="1"/>
    <col min="9742" max="9742" width="10.4416666666667" style="153" customWidth="1"/>
    <col min="9743" max="9746" width="11.6666666666667" style="153" customWidth="1"/>
    <col min="9747" max="9747" width="13.3333333333333" style="153" customWidth="1"/>
    <col min="9748" max="9748" width="13.5583333333333" style="153" customWidth="1"/>
    <col min="9749" max="9752" width="11.3333333333333" style="153" customWidth="1"/>
    <col min="9753" max="9753" width="13.5583333333333" style="153" customWidth="1"/>
    <col min="9754" max="9754" width="10.4416666666667" style="153" customWidth="1"/>
    <col min="9755" max="9755" width="11.3333333333333" style="153" customWidth="1"/>
    <col min="9756" max="9756" width="13.5583333333333" style="153" customWidth="1"/>
    <col min="9757" max="9757" width="4.44166666666667" style="153" customWidth="1"/>
    <col min="9758" max="9758" width="7.44166666666667" style="153" customWidth="1"/>
    <col min="9759" max="9759" width="5.55833333333333" style="153" customWidth="1"/>
    <col min="9760" max="9760" width="13.775" style="153" customWidth="1"/>
    <col min="9761" max="9761" width="13.5583333333333" style="153" customWidth="1"/>
    <col min="9762" max="9762" width="11.3333333333333" style="153" customWidth="1"/>
    <col min="9763" max="9763" width="10.5583333333333" style="153" customWidth="1"/>
    <col min="9764" max="9764" width="11.6666666666667" style="153" customWidth="1"/>
    <col min="9765" max="9765" width="13.5583333333333" style="153" customWidth="1"/>
    <col min="9766" max="9993" width="9.66666666666667" style="153"/>
    <col min="9994" max="9994" width="7.44166666666667" style="153" customWidth="1"/>
    <col min="9995" max="9995" width="11.3333333333333" style="153" customWidth="1"/>
    <col min="9996" max="9996" width="10.4416666666667" style="153" customWidth="1"/>
    <col min="9997" max="9997" width="13.5583333333333" style="153" customWidth="1"/>
    <col min="9998" max="9998" width="10.4416666666667" style="153" customWidth="1"/>
    <col min="9999" max="10002" width="11.6666666666667" style="153" customWidth="1"/>
    <col min="10003" max="10003" width="13.3333333333333" style="153" customWidth="1"/>
    <col min="10004" max="10004" width="13.5583333333333" style="153" customWidth="1"/>
    <col min="10005" max="10008" width="11.3333333333333" style="153" customWidth="1"/>
    <col min="10009" max="10009" width="13.5583333333333" style="153" customWidth="1"/>
    <col min="10010" max="10010" width="10.4416666666667" style="153" customWidth="1"/>
    <col min="10011" max="10011" width="11.3333333333333" style="153" customWidth="1"/>
    <col min="10012" max="10012" width="13.5583333333333" style="153" customWidth="1"/>
    <col min="10013" max="10013" width="4.44166666666667" style="153" customWidth="1"/>
    <col min="10014" max="10014" width="7.44166666666667" style="153" customWidth="1"/>
    <col min="10015" max="10015" width="5.55833333333333" style="153" customWidth="1"/>
    <col min="10016" max="10016" width="13.775" style="153" customWidth="1"/>
    <col min="10017" max="10017" width="13.5583333333333" style="153" customWidth="1"/>
    <col min="10018" max="10018" width="11.3333333333333" style="153" customWidth="1"/>
    <col min="10019" max="10019" width="10.5583333333333" style="153" customWidth="1"/>
    <col min="10020" max="10020" width="11.6666666666667" style="153" customWidth="1"/>
    <col min="10021" max="10021" width="13.5583333333333" style="153" customWidth="1"/>
    <col min="10022" max="10249" width="9.66666666666667" style="153"/>
    <col min="10250" max="10250" width="7.44166666666667" style="153" customWidth="1"/>
    <col min="10251" max="10251" width="11.3333333333333" style="153" customWidth="1"/>
    <col min="10252" max="10252" width="10.4416666666667" style="153" customWidth="1"/>
    <col min="10253" max="10253" width="13.5583333333333" style="153" customWidth="1"/>
    <col min="10254" max="10254" width="10.4416666666667" style="153" customWidth="1"/>
    <col min="10255" max="10258" width="11.6666666666667" style="153" customWidth="1"/>
    <col min="10259" max="10259" width="13.3333333333333" style="153" customWidth="1"/>
    <col min="10260" max="10260" width="13.5583333333333" style="153" customWidth="1"/>
    <col min="10261" max="10264" width="11.3333333333333" style="153" customWidth="1"/>
    <col min="10265" max="10265" width="13.5583333333333" style="153" customWidth="1"/>
    <col min="10266" max="10266" width="10.4416666666667" style="153" customWidth="1"/>
    <col min="10267" max="10267" width="11.3333333333333" style="153" customWidth="1"/>
    <col min="10268" max="10268" width="13.5583333333333" style="153" customWidth="1"/>
    <col min="10269" max="10269" width="4.44166666666667" style="153" customWidth="1"/>
    <col min="10270" max="10270" width="7.44166666666667" style="153" customWidth="1"/>
    <col min="10271" max="10271" width="5.55833333333333" style="153" customWidth="1"/>
    <col min="10272" max="10272" width="13.775" style="153" customWidth="1"/>
    <col min="10273" max="10273" width="13.5583333333333" style="153" customWidth="1"/>
    <col min="10274" max="10274" width="11.3333333333333" style="153" customWidth="1"/>
    <col min="10275" max="10275" width="10.5583333333333" style="153" customWidth="1"/>
    <col min="10276" max="10276" width="11.6666666666667" style="153" customWidth="1"/>
    <col min="10277" max="10277" width="13.5583333333333" style="153" customWidth="1"/>
    <col min="10278" max="10505" width="9.66666666666667" style="153"/>
    <col min="10506" max="10506" width="7.44166666666667" style="153" customWidth="1"/>
    <col min="10507" max="10507" width="11.3333333333333" style="153" customWidth="1"/>
    <col min="10508" max="10508" width="10.4416666666667" style="153" customWidth="1"/>
    <col min="10509" max="10509" width="13.5583333333333" style="153" customWidth="1"/>
    <col min="10510" max="10510" width="10.4416666666667" style="153" customWidth="1"/>
    <col min="10511" max="10514" width="11.6666666666667" style="153" customWidth="1"/>
    <col min="10515" max="10515" width="13.3333333333333" style="153" customWidth="1"/>
    <col min="10516" max="10516" width="13.5583333333333" style="153" customWidth="1"/>
    <col min="10517" max="10520" width="11.3333333333333" style="153" customWidth="1"/>
    <col min="10521" max="10521" width="13.5583333333333" style="153" customWidth="1"/>
    <col min="10522" max="10522" width="10.4416666666667" style="153" customWidth="1"/>
    <col min="10523" max="10523" width="11.3333333333333" style="153" customWidth="1"/>
    <col min="10524" max="10524" width="13.5583333333333" style="153" customWidth="1"/>
    <col min="10525" max="10525" width="4.44166666666667" style="153" customWidth="1"/>
    <col min="10526" max="10526" width="7.44166666666667" style="153" customWidth="1"/>
    <col min="10527" max="10527" width="5.55833333333333" style="153" customWidth="1"/>
    <col min="10528" max="10528" width="13.775" style="153" customWidth="1"/>
    <col min="10529" max="10529" width="13.5583333333333" style="153" customWidth="1"/>
    <col min="10530" max="10530" width="11.3333333333333" style="153" customWidth="1"/>
    <col min="10531" max="10531" width="10.5583333333333" style="153" customWidth="1"/>
    <col min="10532" max="10532" width="11.6666666666667" style="153" customWidth="1"/>
    <col min="10533" max="10533" width="13.5583333333333" style="153" customWidth="1"/>
    <col min="10534" max="10761" width="9.66666666666667" style="153"/>
    <col min="10762" max="10762" width="7.44166666666667" style="153" customWidth="1"/>
    <col min="10763" max="10763" width="11.3333333333333" style="153" customWidth="1"/>
    <col min="10764" max="10764" width="10.4416666666667" style="153" customWidth="1"/>
    <col min="10765" max="10765" width="13.5583333333333" style="153" customWidth="1"/>
    <col min="10766" max="10766" width="10.4416666666667" style="153" customWidth="1"/>
    <col min="10767" max="10770" width="11.6666666666667" style="153" customWidth="1"/>
    <col min="10771" max="10771" width="13.3333333333333" style="153" customWidth="1"/>
    <col min="10772" max="10772" width="13.5583333333333" style="153" customWidth="1"/>
    <col min="10773" max="10776" width="11.3333333333333" style="153" customWidth="1"/>
    <col min="10777" max="10777" width="13.5583333333333" style="153" customWidth="1"/>
    <col min="10778" max="10778" width="10.4416666666667" style="153" customWidth="1"/>
    <col min="10779" max="10779" width="11.3333333333333" style="153" customWidth="1"/>
    <col min="10780" max="10780" width="13.5583333333333" style="153" customWidth="1"/>
    <col min="10781" max="10781" width="4.44166666666667" style="153" customWidth="1"/>
    <col min="10782" max="10782" width="7.44166666666667" style="153" customWidth="1"/>
    <col min="10783" max="10783" width="5.55833333333333" style="153" customWidth="1"/>
    <col min="10784" max="10784" width="13.775" style="153" customWidth="1"/>
    <col min="10785" max="10785" width="13.5583333333333" style="153" customWidth="1"/>
    <col min="10786" max="10786" width="11.3333333333333" style="153" customWidth="1"/>
    <col min="10787" max="10787" width="10.5583333333333" style="153" customWidth="1"/>
    <col min="10788" max="10788" width="11.6666666666667" style="153" customWidth="1"/>
    <col min="10789" max="10789" width="13.5583333333333" style="153" customWidth="1"/>
    <col min="10790" max="11017" width="9.66666666666667" style="153"/>
    <col min="11018" max="11018" width="7.44166666666667" style="153" customWidth="1"/>
    <col min="11019" max="11019" width="11.3333333333333" style="153" customWidth="1"/>
    <col min="11020" max="11020" width="10.4416666666667" style="153" customWidth="1"/>
    <col min="11021" max="11021" width="13.5583333333333" style="153" customWidth="1"/>
    <col min="11022" max="11022" width="10.4416666666667" style="153" customWidth="1"/>
    <col min="11023" max="11026" width="11.6666666666667" style="153" customWidth="1"/>
    <col min="11027" max="11027" width="13.3333333333333" style="153" customWidth="1"/>
    <col min="11028" max="11028" width="13.5583333333333" style="153" customWidth="1"/>
    <col min="11029" max="11032" width="11.3333333333333" style="153" customWidth="1"/>
    <col min="11033" max="11033" width="13.5583333333333" style="153" customWidth="1"/>
    <col min="11034" max="11034" width="10.4416666666667" style="153" customWidth="1"/>
    <col min="11035" max="11035" width="11.3333333333333" style="153" customWidth="1"/>
    <col min="11036" max="11036" width="13.5583333333333" style="153" customWidth="1"/>
    <col min="11037" max="11037" width="4.44166666666667" style="153" customWidth="1"/>
    <col min="11038" max="11038" width="7.44166666666667" style="153" customWidth="1"/>
    <col min="11039" max="11039" width="5.55833333333333" style="153" customWidth="1"/>
    <col min="11040" max="11040" width="13.775" style="153" customWidth="1"/>
    <col min="11041" max="11041" width="13.5583333333333" style="153" customWidth="1"/>
    <col min="11042" max="11042" width="11.3333333333333" style="153" customWidth="1"/>
    <col min="11043" max="11043" width="10.5583333333333" style="153" customWidth="1"/>
    <col min="11044" max="11044" width="11.6666666666667" style="153" customWidth="1"/>
    <col min="11045" max="11045" width="13.5583333333333" style="153" customWidth="1"/>
    <col min="11046" max="11273" width="9.66666666666667" style="153"/>
    <col min="11274" max="11274" width="7.44166666666667" style="153" customWidth="1"/>
    <col min="11275" max="11275" width="11.3333333333333" style="153" customWidth="1"/>
    <col min="11276" max="11276" width="10.4416666666667" style="153" customWidth="1"/>
    <col min="11277" max="11277" width="13.5583333333333" style="153" customWidth="1"/>
    <col min="11278" max="11278" width="10.4416666666667" style="153" customWidth="1"/>
    <col min="11279" max="11282" width="11.6666666666667" style="153" customWidth="1"/>
    <col min="11283" max="11283" width="13.3333333333333" style="153" customWidth="1"/>
    <col min="11284" max="11284" width="13.5583333333333" style="153" customWidth="1"/>
    <col min="11285" max="11288" width="11.3333333333333" style="153" customWidth="1"/>
    <col min="11289" max="11289" width="13.5583333333333" style="153" customWidth="1"/>
    <col min="11290" max="11290" width="10.4416666666667" style="153" customWidth="1"/>
    <col min="11291" max="11291" width="11.3333333333333" style="153" customWidth="1"/>
    <col min="11292" max="11292" width="13.5583333333333" style="153" customWidth="1"/>
    <col min="11293" max="11293" width="4.44166666666667" style="153" customWidth="1"/>
    <col min="11294" max="11294" width="7.44166666666667" style="153" customWidth="1"/>
    <col min="11295" max="11295" width="5.55833333333333" style="153" customWidth="1"/>
    <col min="11296" max="11296" width="13.775" style="153" customWidth="1"/>
    <col min="11297" max="11297" width="13.5583333333333" style="153" customWidth="1"/>
    <col min="11298" max="11298" width="11.3333333333333" style="153" customWidth="1"/>
    <col min="11299" max="11299" width="10.5583333333333" style="153" customWidth="1"/>
    <col min="11300" max="11300" width="11.6666666666667" style="153" customWidth="1"/>
    <col min="11301" max="11301" width="13.5583333333333" style="153" customWidth="1"/>
    <col min="11302" max="11529" width="9.66666666666667" style="153"/>
    <col min="11530" max="11530" width="7.44166666666667" style="153" customWidth="1"/>
    <col min="11531" max="11531" width="11.3333333333333" style="153" customWidth="1"/>
    <col min="11532" max="11532" width="10.4416666666667" style="153" customWidth="1"/>
    <col min="11533" max="11533" width="13.5583333333333" style="153" customWidth="1"/>
    <col min="11534" max="11534" width="10.4416666666667" style="153" customWidth="1"/>
    <col min="11535" max="11538" width="11.6666666666667" style="153" customWidth="1"/>
    <col min="11539" max="11539" width="13.3333333333333" style="153" customWidth="1"/>
    <col min="11540" max="11540" width="13.5583333333333" style="153" customWidth="1"/>
    <col min="11541" max="11544" width="11.3333333333333" style="153" customWidth="1"/>
    <col min="11545" max="11545" width="13.5583333333333" style="153" customWidth="1"/>
    <col min="11546" max="11546" width="10.4416666666667" style="153" customWidth="1"/>
    <col min="11547" max="11547" width="11.3333333333333" style="153" customWidth="1"/>
    <col min="11548" max="11548" width="13.5583333333333" style="153" customWidth="1"/>
    <col min="11549" max="11549" width="4.44166666666667" style="153" customWidth="1"/>
    <col min="11550" max="11550" width="7.44166666666667" style="153" customWidth="1"/>
    <col min="11551" max="11551" width="5.55833333333333" style="153" customWidth="1"/>
    <col min="11552" max="11552" width="13.775" style="153" customWidth="1"/>
    <col min="11553" max="11553" width="13.5583333333333" style="153" customWidth="1"/>
    <col min="11554" max="11554" width="11.3333333333333" style="153" customWidth="1"/>
    <col min="11555" max="11555" width="10.5583333333333" style="153" customWidth="1"/>
    <col min="11556" max="11556" width="11.6666666666667" style="153" customWidth="1"/>
    <col min="11557" max="11557" width="13.5583333333333" style="153" customWidth="1"/>
    <col min="11558" max="11785" width="9.66666666666667" style="153"/>
    <col min="11786" max="11786" width="7.44166666666667" style="153" customWidth="1"/>
    <col min="11787" max="11787" width="11.3333333333333" style="153" customWidth="1"/>
    <col min="11788" max="11788" width="10.4416666666667" style="153" customWidth="1"/>
    <col min="11789" max="11789" width="13.5583333333333" style="153" customWidth="1"/>
    <col min="11790" max="11790" width="10.4416666666667" style="153" customWidth="1"/>
    <col min="11791" max="11794" width="11.6666666666667" style="153" customWidth="1"/>
    <col min="11795" max="11795" width="13.3333333333333" style="153" customWidth="1"/>
    <col min="11796" max="11796" width="13.5583333333333" style="153" customWidth="1"/>
    <col min="11797" max="11800" width="11.3333333333333" style="153" customWidth="1"/>
    <col min="11801" max="11801" width="13.5583333333333" style="153" customWidth="1"/>
    <col min="11802" max="11802" width="10.4416666666667" style="153" customWidth="1"/>
    <col min="11803" max="11803" width="11.3333333333333" style="153" customWidth="1"/>
    <col min="11804" max="11804" width="13.5583333333333" style="153" customWidth="1"/>
    <col min="11805" max="11805" width="4.44166666666667" style="153" customWidth="1"/>
    <col min="11806" max="11806" width="7.44166666666667" style="153" customWidth="1"/>
    <col min="11807" max="11807" width="5.55833333333333" style="153" customWidth="1"/>
    <col min="11808" max="11808" width="13.775" style="153" customWidth="1"/>
    <col min="11809" max="11809" width="13.5583333333333" style="153" customWidth="1"/>
    <col min="11810" max="11810" width="11.3333333333333" style="153" customWidth="1"/>
    <col min="11811" max="11811" width="10.5583333333333" style="153" customWidth="1"/>
    <col min="11812" max="11812" width="11.6666666666667" style="153" customWidth="1"/>
    <col min="11813" max="11813" width="13.5583333333333" style="153" customWidth="1"/>
    <col min="11814" max="12041" width="9.66666666666667" style="153"/>
    <col min="12042" max="12042" width="7.44166666666667" style="153" customWidth="1"/>
    <col min="12043" max="12043" width="11.3333333333333" style="153" customWidth="1"/>
    <col min="12044" max="12044" width="10.4416666666667" style="153" customWidth="1"/>
    <col min="12045" max="12045" width="13.5583333333333" style="153" customWidth="1"/>
    <col min="12046" max="12046" width="10.4416666666667" style="153" customWidth="1"/>
    <col min="12047" max="12050" width="11.6666666666667" style="153" customWidth="1"/>
    <col min="12051" max="12051" width="13.3333333333333" style="153" customWidth="1"/>
    <col min="12052" max="12052" width="13.5583333333333" style="153" customWidth="1"/>
    <col min="12053" max="12056" width="11.3333333333333" style="153" customWidth="1"/>
    <col min="12057" max="12057" width="13.5583333333333" style="153" customWidth="1"/>
    <col min="12058" max="12058" width="10.4416666666667" style="153" customWidth="1"/>
    <col min="12059" max="12059" width="11.3333333333333" style="153" customWidth="1"/>
    <col min="12060" max="12060" width="13.5583333333333" style="153" customWidth="1"/>
    <col min="12061" max="12061" width="4.44166666666667" style="153" customWidth="1"/>
    <col min="12062" max="12062" width="7.44166666666667" style="153" customWidth="1"/>
    <col min="12063" max="12063" width="5.55833333333333" style="153" customWidth="1"/>
    <col min="12064" max="12064" width="13.775" style="153" customWidth="1"/>
    <col min="12065" max="12065" width="13.5583333333333" style="153" customWidth="1"/>
    <col min="12066" max="12066" width="11.3333333333333" style="153" customWidth="1"/>
    <col min="12067" max="12067" width="10.5583333333333" style="153" customWidth="1"/>
    <col min="12068" max="12068" width="11.6666666666667" style="153" customWidth="1"/>
    <col min="12069" max="12069" width="13.5583333333333" style="153" customWidth="1"/>
    <col min="12070" max="12297" width="9.66666666666667" style="153"/>
    <col min="12298" max="12298" width="7.44166666666667" style="153" customWidth="1"/>
    <col min="12299" max="12299" width="11.3333333333333" style="153" customWidth="1"/>
    <col min="12300" max="12300" width="10.4416666666667" style="153" customWidth="1"/>
    <col min="12301" max="12301" width="13.5583333333333" style="153" customWidth="1"/>
    <col min="12302" max="12302" width="10.4416666666667" style="153" customWidth="1"/>
    <col min="12303" max="12306" width="11.6666666666667" style="153" customWidth="1"/>
    <col min="12307" max="12307" width="13.3333333333333" style="153" customWidth="1"/>
    <col min="12308" max="12308" width="13.5583333333333" style="153" customWidth="1"/>
    <col min="12309" max="12312" width="11.3333333333333" style="153" customWidth="1"/>
    <col min="12313" max="12313" width="13.5583333333333" style="153" customWidth="1"/>
    <col min="12314" max="12314" width="10.4416666666667" style="153" customWidth="1"/>
    <col min="12315" max="12315" width="11.3333333333333" style="153" customWidth="1"/>
    <col min="12316" max="12316" width="13.5583333333333" style="153" customWidth="1"/>
    <col min="12317" max="12317" width="4.44166666666667" style="153" customWidth="1"/>
    <col min="12318" max="12318" width="7.44166666666667" style="153" customWidth="1"/>
    <col min="12319" max="12319" width="5.55833333333333" style="153" customWidth="1"/>
    <col min="12320" max="12320" width="13.775" style="153" customWidth="1"/>
    <col min="12321" max="12321" width="13.5583333333333" style="153" customWidth="1"/>
    <col min="12322" max="12322" width="11.3333333333333" style="153" customWidth="1"/>
    <col min="12323" max="12323" width="10.5583333333333" style="153" customWidth="1"/>
    <col min="12324" max="12324" width="11.6666666666667" style="153" customWidth="1"/>
    <col min="12325" max="12325" width="13.5583333333333" style="153" customWidth="1"/>
    <col min="12326" max="12553" width="9.66666666666667" style="153"/>
    <col min="12554" max="12554" width="7.44166666666667" style="153" customWidth="1"/>
    <col min="12555" max="12555" width="11.3333333333333" style="153" customWidth="1"/>
    <col min="12556" max="12556" width="10.4416666666667" style="153" customWidth="1"/>
    <col min="12557" max="12557" width="13.5583333333333" style="153" customWidth="1"/>
    <col min="12558" max="12558" width="10.4416666666667" style="153" customWidth="1"/>
    <col min="12559" max="12562" width="11.6666666666667" style="153" customWidth="1"/>
    <col min="12563" max="12563" width="13.3333333333333" style="153" customWidth="1"/>
    <col min="12564" max="12564" width="13.5583333333333" style="153" customWidth="1"/>
    <col min="12565" max="12568" width="11.3333333333333" style="153" customWidth="1"/>
    <col min="12569" max="12569" width="13.5583333333333" style="153" customWidth="1"/>
    <col min="12570" max="12570" width="10.4416666666667" style="153" customWidth="1"/>
    <col min="12571" max="12571" width="11.3333333333333" style="153" customWidth="1"/>
    <col min="12572" max="12572" width="13.5583333333333" style="153" customWidth="1"/>
    <col min="12573" max="12573" width="4.44166666666667" style="153" customWidth="1"/>
    <col min="12574" max="12574" width="7.44166666666667" style="153" customWidth="1"/>
    <col min="12575" max="12575" width="5.55833333333333" style="153" customWidth="1"/>
    <col min="12576" max="12576" width="13.775" style="153" customWidth="1"/>
    <col min="12577" max="12577" width="13.5583333333333" style="153" customWidth="1"/>
    <col min="12578" max="12578" width="11.3333333333333" style="153" customWidth="1"/>
    <col min="12579" max="12579" width="10.5583333333333" style="153" customWidth="1"/>
    <col min="12580" max="12580" width="11.6666666666667" style="153" customWidth="1"/>
    <col min="12581" max="12581" width="13.5583333333333" style="153" customWidth="1"/>
    <col min="12582" max="12809" width="9.66666666666667" style="153"/>
    <col min="12810" max="12810" width="7.44166666666667" style="153" customWidth="1"/>
    <col min="12811" max="12811" width="11.3333333333333" style="153" customWidth="1"/>
    <col min="12812" max="12812" width="10.4416666666667" style="153" customWidth="1"/>
    <col min="12813" max="12813" width="13.5583333333333" style="153" customWidth="1"/>
    <col min="12814" max="12814" width="10.4416666666667" style="153" customWidth="1"/>
    <col min="12815" max="12818" width="11.6666666666667" style="153" customWidth="1"/>
    <col min="12819" max="12819" width="13.3333333333333" style="153" customWidth="1"/>
    <col min="12820" max="12820" width="13.5583333333333" style="153" customWidth="1"/>
    <col min="12821" max="12824" width="11.3333333333333" style="153" customWidth="1"/>
    <col min="12825" max="12825" width="13.5583333333333" style="153" customWidth="1"/>
    <col min="12826" max="12826" width="10.4416666666667" style="153" customWidth="1"/>
    <col min="12827" max="12827" width="11.3333333333333" style="153" customWidth="1"/>
    <col min="12828" max="12828" width="13.5583333333333" style="153" customWidth="1"/>
    <col min="12829" max="12829" width="4.44166666666667" style="153" customWidth="1"/>
    <col min="12830" max="12830" width="7.44166666666667" style="153" customWidth="1"/>
    <col min="12831" max="12831" width="5.55833333333333" style="153" customWidth="1"/>
    <col min="12832" max="12832" width="13.775" style="153" customWidth="1"/>
    <col min="12833" max="12833" width="13.5583333333333" style="153" customWidth="1"/>
    <col min="12834" max="12834" width="11.3333333333333" style="153" customWidth="1"/>
    <col min="12835" max="12835" width="10.5583333333333" style="153" customWidth="1"/>
    <col min="12836" max="12836" width="11.6666666666667" style="153" customWidth="1"/>
    <col min="12837" max="12837" width="13.5583333333333" style="153" customWidth="1"/>
    <col min="12838" max="13065" width="9.66666666666667" style="153"/>
    <col min="13066" max="13066" width="7.44166666666667" style="153" customWidth="1"/>
    <col min="13067" max="13067" width="11.3333333333333" style="153" customWidth="1"/>
    <col min="13068" max="13068" width="10.4416666666667" style="153" customWidth="1"/>
    <col min="13069" max="13069" width="13.5583333333333" style="153" customWidth="1"/>
    <col min="13070" max="13070" width="10.4416666666667" style="153" customWidth="1"/>
    <col min="13071" max="13074" width="11.6666666666667" style="153" customWidth="1"/>
    <col min="13075" max="13075" width="13.3333333333333" style="153" customWidth="1"/>
    <col min="13076" max="13076" width="13.5583333333333" style="153" customWidth="1"/>
    <col min="13077" max="13080" width="11.3333333333333" style="153" customWidth="1"/>
    <col min="13081" max="13081" width="13.5583333333333" style="153" customWidth="1"/>
    <col min="13082" max="13082" width="10.4416666666667" style="153" customWidth="1"/>
    <col min="13083" max="13083" width="11.3333333333333" style="153" customWidth="1"/>
    <col min="13084" max="13084" width="13.5583333333333" style="153" customWidth="1"/>
    <col min="13085" max="13085" width="4.44166666666667" style="153" customWidth="1"/>
    <col min="13086" max="13086" width="7.44166666666667" style="153" customWidth="1"/>
    <col min="13087" max="13087" width="5.55833333333333" style="153" customWidth="1"/>
    <col min="13088" max="13088" width="13.775" style="153" customWidth="1"/>
    <col min="13089" max="13089" width="13.5583333333333" style="153" customWidth="1"/>
    <col min="13090" max="13090" width="11.3333333333333" style="153" customWidth="1"/>
    <col min="13091" max="13091" width="10.5583333333333" style="153" customWidth="1"/>
    <col min="13092" max="13092" width="11.6666666666667" style="153" customWidth="1"/>
    <col min="13093" max="13093" width="13.5583333333333" style="153" customWidth="1"/>
    <col min="13094" max="13321" width="9.66666666666667" style="153"/>
    <col min="13322" max="13322" width="7.44166666666667" style="153" customWidth="1"/>
    <col min="13323" max="13323" width="11.3333333333333" style="153" customWidth="1"/>
    <col min="13324" max="13324" width="10.4416666666667" style="153" customWidth="1"/>
    <col min="13325" max="13325" width="13.5583333333333" style="153" customWidth="1"/>
    <col min="13326" max="13326" width="10.4416666666667" style="153" customWidth="1"/>
    <col min="13327" max="13330" width="11.6666666666667" style="153" customWidth="1"/>
    <col min="13331" max="13331" width="13.3333333333333" style="153" customWidth="1"/>
    <col min="13332" max="13332" width="13.5583333333333" style="153" customWidth="1"/>
    <col min="13333" max="13336" width="11.3333333333333" style="153" customWidth="1"/>
    <col min="13337" max="13337" width="13.5583333333333" style="153" customWidth="1"/>
    <col min="13338" max="13338" width="10.4416666666667" style="153" customWidth="1"/>
    <col min="13339" max="13339" width="11.3333333333333" style="153" customWidth="1"/>
    <col min="13340" max="13340" width="13.5583333333333" style="153" customWidth="1"/>
    <col min="13341" max="13341" width="4.44166666666667" style="153" customWidth="1"/>
    <col min="13342" max="13342" width="7.44166666666667" style="153" customWidth="1"/>
    <col min="13343" max="13343" width="5.55833333333333" style="153" customWidth="1"/>
    <col min="13344" max="13344" width="13.775" style="153" customWidth="1"/>
    <col min="13345" max="13345" width="13.5583333333333" style="153" customWidth="1"/>
    <col min="13346" max="13346" width="11.3333333333333" style="153" customWidth="1"/>
    <col min="13347" max="13347" width="10.5583333333333" style="153" customWidth="1"/>
    <col min="13348" max="13348" width="11.6666666666667" style="153" customWidth="1"/>
    <col min="13349" max="13349" width="13.5583333333333" style="153" customWidth="1"/>
    <col min="13350" max="13577" width="9.66666666666667" style="153"/>
    <col min="13578" max="13578" width="7.44166666666667" style="153" customWidth="1"/>
    <col min="13579" max="13579" width="11.3333333333333" style="153" customWidth="1"/>
    <col min="13580" max="13580" width="10.4416666666667" style="153" customWidth="1"/>
    <col min="13581" max="13581" width="13.5583333333333" style="153" customWidth="1"/>
    <col min="13582" max="13582" width="10.4416666666667" style="153" customWidth="1"/>
    <col min="13583" max="13586" width="11.6666666666667" style="153" customWidth="1"/>
    <col min="13587" max="13587" width="13.3333333333333" style="153" customWidth="1"/>
    <col min="13588" max="13588" width="13.5583333333333" style="153" customWidth="1"/>
    <col min="13589" max="13592" width="11.3333333333333" style="153" customWidth="1"/>
    <col min="13593" max="13593" width="13.5583333333333" style="153" customWidth="1"/>
    <col min="13594" max="13594" width="10.4416666666667" style="153" customWidth="1"/>
    <col min="13595" max="13595" width="11.3333333333333" style="153" customWidth="1"/>
    <col min="13596" max="13596" width="13.5583333333333" style="153" customWidth="1"/>
    <col min="13597" max="13597" width="4.44166666666667" style="153" customWidth="1"/>
    <col min="13598" max="13598" width="7.44166666666667" style="153" customWidth="1"/>
    <col min="13599" max="13599" width="5.55833333333333" style="153" customWidth="1"/>
    <col min="13600" max="13600" width="13.775" style="153" customWidth="1"/>
    <col min="13601" max="13601" width="13.5583333333333" style="153" customWidth="1"/>
    <col min="13602" max="13602" width="11.3333333333333" style="153" customWidth="1"/>
    <col min="13603" max="13603" width="10.5583333333333" style="153" customWidth="1"/>
    <col min="13604" max="13604" width="11.6666666666667" style="153" customWidth="1"/>
    <col min="13605" max="13605" width="13.5583333333333" style="153" customWidth="1"/>
    <col min="13606" max="13833" width="9.66666666666667" style="153"/>
    <col min="13834" max="13834" width="7.44166666666667" style="153" customWidth="1"/>
    <col min="13835" max="13835" width="11.3333333333333" style="153" customWidth="1"/>
    <col min="13836" max="13836" width="10.4416666666667" style="153" customWidth="1"/>
    <col min="13837" max="13837" width="13.5583333333333" style="153" customWidth="1"/>
    <col min="13838" max="13838" width="10.4416666666667" style="153" customWidth="1"/>
    <col min="13839" max="13842" width="11.6666666666667" style="153" customWidth="1"/>
    <col min="13843" max="13843" width="13.3333333333333" style="153" customWidth="1"/>
    <col min="13844" max="13844" width="13.5583333333333" style="153" customWidth="1"/>
    <col min="13845" max="13848" width="11.3333333333333" style="153" customWidth="1"/>
    <col min="13849" max="13849" width="13.5583333333333" style="153" customWidth="1"/>
    <col min="13850" max="13850" width="10.4416666666667" style="153" customWidth="1"/>
    <col min="13851" max="13851" width="11.3333333333333" style="153" customWidth="1"/>
    <col min="13852" max="13852" width="13.5583333333333" style="153" customWidth="1"/>
    <col min="13853" max="13853" width="4.44166666666667" style="153" customWidth="1"/>
    <col min="13854" max="13854" width="7.44166666666667" style="153" customWidth="1"/>
    <col min="13855" max="13855" width="5.55833333333333" style="153" customWidth="1"/>
    <col min="13856" max="13856" width="13.775" style="153" customWidth="1"/>
    <col min="13857" max="13857" width="13.5583333333333" style="153" customWidth="1"/>
    <col min="13858" max="13858" width="11.3333333333333" style="153" customWidth="1"/>
    <col min="13859" max="13859" width="10.5583333333333" style="153" customWidth="1"/>
    <col min="13860" max="13860" width="11.6666666666667" style="153" customWidth="1"/>
    <col min="13861" max="13861" width="13.5583333333333" style="153" customWidth="1"/>
    <col min="13862" max="14089" width="9.66666666666667" style="153"/>
    <col min="14090" max="14090" width="7.44166666666667" style="153" customWidth="1"/>
    <col min="14091" max="14091" width="11.3333333333333" style="153" customWidth="1"/>
    <col min="14092" max="14092" width="10.4416666666667" style="153" customWidth="1"/>
    <col min="14093" max="14093" width="13.5583333333333" style="153" customWidth="1"/>
    <col min="14094" max="14094" width="10.4416666666667" style="153" customWidth="1"/>
    <col min="14095" max="14098" width="11.6666666666667" style="153" customWidth="1"/>
    <col min="14099" max="14099" width="13.3333333333333" style="153" customWidth="1"/>
    <col min="14100" max="14100" width="13.5583333333333" style="153" customWidth="1"/>
    <col min="14101" max="14104" width="11.3333333333333" style="153" customWidth="1"/>
    <col min="14105" max="14105" width="13.5583333333333" style="153" customWidth="1"/>
    <col min="14106" max="14106" width="10.4416666666667" style="153" customWidth="1"/>
    <col min="14107" max="14107" width="11.3333333333333" style="153" customWidth="1"/>
    <col min="14108" max="14108" width="13.5583333333333" style="153" customWidth="1"/>
    <col min="14109" max="14109" width="4.44166666666667" style="153" customWidth="1"/>
    <col min="14110" max="14110" width="7.44166666666667" style="153" customWidth="1"/>
    <col min="14111" max="14111" width="5.55833333333333" style="153" customWidth="1"/>
    <col min="14112" max="14112" width="13.775" style="153" customWidth="1"/>
    <col min="14113" max="14113" width="13.5583333333333" style="153" customWidth="1"/>
    <col min="14114" max="14114" width="11.3333333333333" style="153" customWidth="1"/>
    <col min="14115" max="14115" width="10.5583333333333" style="153" customWidth="1"/>
    <col min="14116" max="14116" width="11.6666666666667" style="153" customWidth="1"/>
    <col min="14117" max="14117" width="13.5583333333333" style="153" customWidth="1"/>
    <col min="14118" max="14345" width="9.66666666666667" style="153"/>
    <col min="14346" max="14346" width="7.44166666666667" style="153" customWidth="1"/>
    <col min="14347" max="14347" width="11.3333333333333" style="153" customWidth="1"/>
    <col min="14348" max="14348" width="10.4416666666667" style="153" customWidth="1"/>
    <col min="14349" max="14349" width="13.5583333333333" style="153" customWidth="1"/>
    <col min="14350" max="14350" width="10.4416666666667" style="153" customWidth="1"/>
    <col min="14351" max="14354" width="11.6666666666667" style="153" customWidth="1"/>
    <col min="14355" max="14355" width="13.3333333333333" style="153" customWidth="1"/>
    <col min="14356" max="14356" width="13.5583333333333" style="153" customWidth="1"/>
    <col min="14357" max="14360" width="11.3333333333333" style="153" customWidth="1"/>
    <col min="14361" max="14361" width="13.5583333333333" style="153" customWidth="1"/>
    <col min="14362" max="14362" width="10.4416666666667" style="153" customWidth="1"/>
    <col min="14363" max="14363" width="11.3333333333333" style="153" customWidth="1"/>
    <col min="14364" max="14364" width="13.5583333333333" style="153" customWidth="1"/>
    <col min="14365" max="14365" width="4.44166666666667" style="153" customWidth="1"/>
    <col min="14366" max="14366" width="7.44166666666667" style="153" customWidth="1"/>
    <col min="14367" max="14367" width="5.55833333333333" style="153" customWidth="1"/>
    <col min="14368" max="14368" width="13.775" style="153" customWidth="1"/>
    <col min="14369" max="14369" width="13.5583333333333" style="153" customWidth="1"/>
    <col min="14370" max="14370" width="11.3333333333333" style="153" customWidth="1"/>
    <col min="14371" max="14371" width="10.5583333333333" style="153" customWidth="1"/>
    <col min="14372" max="14372" width="11.6666666666667" style="153" customWidth="1"/>
    <col min="14373" max="14373" width="13.5583333333333" style="153" customWidth="1"/>
    <col min="14374" max="14601" width="9.66666666666667" style="153"/>
    <col min="14602" max="14602" width="7.44166666666667" style="153" customWidth="1"/>
    <col min="14603" max="14603" width="11.3333333333333" style="153" customWidth="1"/>
    <col min="14604" max="14604" width="10.4416666666667" style="153" customWidth="1"/>
    <col min="14605" max="14605" width="13.5583333333333" style="153" customWidth="1"/>
    <col min="14606" max="14606" width="10.4416666666667" style="153" customWidth="1"/>
    <col min="14607" max="14610" width="11.6666666666667" style="153" customWidth="1"/>
    <col min="14611" max="14611" width="13.3333333333333" style="153" customWidth="1"/>
    <col min="14612" max="14612" width="13.5583333333333" style="153" customWidth="1"/>
    <col min="14613" max="14616" width="11.3333333333333" style="153" customWidth="1"/>
    <col min="14617" max="14617" width="13.5583333333333" style="153" customWidth="1"/>
    <col min="14618" max="14618" width="10.4416666666667" style="153" customWidth="1"/>
    <col min="14619" max="14619" width="11.3333333333333" style="153" customWidth="1"/>
    <col min="14620" max="14620" width="13.5583333333333" style="153" customWidth="1"/>
    <col min="14621" max="14621" width="4.44166666666667" style="153" customWidth="1"/>
    <col min="14622" max="14622" width="7.44166666666667" style="153" customWidth="1"/>
    <col min="14623" max="14623" width="5.55833333333333" style="153" customWidth="1"/>
    <col min="14624" max="14624" width="13.775" style="153" customWidth="1"/>
    <col min="14625" max="14625" width="13.5583333333333" style="153" customWidth="1"/>
    <col min="14626" max="14626" width="11.3333333333333" style="153" customWidth="1"/>
    <col min="14627" max="14627" width="10.5583333333333" style="153" customWidth="1"/>
    <col min="14628" max="14628" width="11.6666666666667" style="153" customWidth="1"/>
    <col min="14629" max="14629" width="13.5583333333333" style="153" customWidth="1"/>
    <col min="14630" max="14857" width="9.66666666666667" style="153"/>
    <col min="14858" max="14858" width="7.44166666666667" style="153" customWidth="1"/>
    <col min="14859" max="14859" width="11.3333333333333" style="153" customWidth="1"/>
    <col min="14860" max="14860" width="10.4416666666667" style="153" customWidth="1"/>
    <col min="14861" max="14861" width="13.5583333333333" style="153" customWidth="1"/>
    <col min="14862" max="14862" width="10.4416666666667" style="153" customWidth="1"/>
    <col min="14863" max="14866" width="11.6666666666667" style="153" customWidth="1"/>
    <col min="14867" max="14867" width="13.3333333333333" style="153" customWidth="1"/>
    <col min="14868" max="14868" width="13.5583333333333" style="153" customWidth="1"/>
    <col min="14869" max="14872" width="11.3333333333333" style="153" customWidth="1"/>
    <col min="14873" max="14873" width="13.5583333333333" style="153" customWidth="1"/>
    <col min="14874" max="14874" width="10.4416666666667" style="153" customWidth="1"/>
    <col min="14875" max="14875" width="11.3333333333333" style="153" customWidth="1"/>
    <col min="14876" max="14876" width="13.5583333333333" style="153" customWidth="1"/>
    <col min="14877" max="14877" width="4.44166666666667" style="153" customWidth="1"/>
    <col min="14878" max="14878" width="7.44166666666667" style="153" customWidth="1"/>
    <col min="14879" max="14879" width="5.55833333333333" style="153" customWidth="1"/>
    <col min="14880" max="14880" width="13.775" style="153" customWidth="1"/>
    <col min="14881" max="14881" width="13.5583333333333" style="153" customWidth="1"/>
    <col min="14882" max="14882" width="11.3333333333333" style="153" customWidth="1"/>
    <col min="14883" max="14883" width="10.5583333333333" style="153" customWidth="1"/>
    <col min="14884" max="14884" width="11.6666666666667" style="153" customWidth="1"/>
    <col min="14885" max="14885" width="13.5583333333333" style="153" customWidth="1"/>
    <col min="14886" max="15113" width="9.66666666666667" style="153"/>
    <col min="15114" max="15114" width="7.44166666666667" style="153" customWidth="1"/>
    <col min="15115" max="15115" width="11.3333333333333" style="153" customWidth="1"/>
    <col min="15116" max="15116" width="10.4416666666667" style="153" customWidth="1"/>
    <col min="15117" max="15117" width="13.5583333333333" style="153" customWidth="1"/>
    <col min="15118" max="15118" width="10.4416666666667" style="153" customWidth="1"/>
    <col min="15119" max="15122" width="11.6666666666667" style="153" customWidth="1"/>
    <col min="15123" max="15123" width="13.3333333333333" style="153" customWidth="1"/>
    <col min="15124" max="15124" width="13.5583333333333" style="153" customWidth="1"/>
    <col min="15125" max="15128" width="11.3333333333333" style="153" customWidth="1"/>
    <col min="15129" max="15129" width="13.5583333333333" style="153" customWidth="1"/>
    <col min="15130" max="15130" width="10.4416666666667" style="153" customWidth="1"/>
    <col min="15131" max="15131" width="11.3333333333333" style="153" customWidth="1"/>
    <col min="15132" max="15132" width="13.5583333333333" style="153" customWidth="1"/>
    <col min="15133" max="15133" width="4.44166666666667" style="153" customWidth="1"/>
    <col min="15134" max="15134" width="7.44166666666667" style="153" customWidth="1"/>
    <col min="15135" max="15135" width="5.55833333333333" style="153" customWidth="1"/>
    <col min="15136" max="15136" width="13.775" style="153" customWidth="1"/>
    <col min="15137" max="15137" width="13.5583333333333" style="153" customWidth="1"/>
    <col min="15138" max="15138" width="11.3333333333333" style="153" customWidth="1"/>
    <col min="15139" max="15139" width="10.5583333333333" style="153" customWidth="1"/>
    <col min="15140" max="15140" width="11.6666666666667" style="153" customWidth="1"/>
    <col min="15141" max="15141" width="13.5583333333333" style="153" customWidth="1"/>
    <col min="15142" max="15369" width="9.66666666666667" style="153"/>
    <col min="15370" max="15370" width="7.44166666666667" style="153" customWidth="1"/>
    <col min="15371" max="15371" width="11.3333333333333" style="153" customWidth="1"/>
    <col min="15372" max="15372" width="10.4416666666667" style="153" customWidth="1"/>
    <col min="15373" max="15373" width="13.5583333333333" style="153" customWidth="1"/>
    <col min="15374" max="15374" width="10.4416666666667" style="153" customWidth="1"/>
    <col min="15375" max="15378" width="11.6666666666667" style="153" customWidth="1"/>
    <col min="15379" max="15379" width="13.3333333333333" style="153" customWidth="1"/>
    <col min="15380" max="15380" width="13.5583333333333" style="153" customWidth="1"/>
    <col min="15381" max="15384" width="11.3333333333333" style="153" customWidth="1"/>
    <col min="15385" max="15385" width="13.5583333333333" style="153" customWidth="1"/>
    <col min="15386" max="15386" width="10.4416666666667" style="153" customWidth="1"/>
    <col min="15387" max="15387" width="11.3333333333333" style="153" customWidth="1"/>
    <col min="15388" max="15388" width="13.5583333333333" style="153" customWidth="1"/>
    <col min="15389" max="15389" width="4.44166666666667" style="153" customWidth="1"/>
    <col min="15390" max="15390" width="7.44166666666667" style="153" customWidth="1"/>
    <col min="15391" max="15391" width="5.55833333333333" style="153" customWidth="1"/>
    <col min="15392" max="15392" width="13.775" style="153" customWidth="1"/>
    <col min="15393" max="15393" width="13.5583333333333" style="153" customWidth="1"/>
    <col min="15394" max="15394" width="11.3333333333333" style="153" customWidth="1"/>
    <col min="15395" max="15395" width="10.5583333333333" style="153" customWidth="1"/>
    <col min="15396" max="15396" width="11.6666666666667" style="153" customWidth="1"/>
    <col min="15397" max="15397" width="13.5583333333333" style="153" customWidth="1"/>
    <col min="15398" max="15625" width="9.66666666666667" style="153"/>
    <col min="15626" max="15626" width="7.44166666666667" style="153" customWidth="1"/>
    <col min="15627" max="15627" width="11.3333333333333" style="153" customWidth="1"/>
    <col min="15628" max="15628" width="10.4416666666667" style="153" customWidth="1"/>
    <col min="15629" max="15629" width="13.5583333333333" style="153" customWidth="1"/>
    <col min="15630" max="15630" width="10.4416666666667" style="153" customWidth="1"/>
    <col min="15631" max="15634" width="11.6666666666667" style="153" customWidth="1"/>
    <col min="15635" max="15635" width="13.3333333333333" style="153" customWidth="1"/>
    <col min="15636" max="15636" width="13.5583333333333" style="153" customWidth="1"/>
    <col min="15637" max="15640" width="11.3333333333333" style="153" customWidth="1"/>
    <col min="15641" max="15641" width="13.5583333333333" style="153" customWidth="1"/>
    <col min="15642" max="15642" width="10.4416666666667" style="153" customWidth="1"/>
    <col min="15643" max="15643" width="11.3333333333333" style="153" customWidth="1"/>
    <col min="15644" max="15644" width="13.5583333333333" style="153" customWidth="1"/>
    <col min="15645" max="15645" width="4.44166666666667" style="153" customWidth="1"/>
    <col min="15646" max="15646" width="7.44166666666667" style="153" customWidth="1"/>
    <col min="15647" max="15647" width="5.55833333333333" style="153" customWidth="1"/>
    <col min="15648" max="15648" width="13.775" style="153" customWidth="1"/>
    <col min="15649" max="15649" width="13.5583333333333" style="153" customWidth="1"/>
    <col min="15650" max="15650" width="11.3333333333333" style="153" customWidth="1"/>
    <col min="15651" max="15651" width="10.5583333333333" style="153" customWidth="1"/>
    <col min="15652" max="15652" width="11.6666666666667" style="153" customWidth="1"/>
    <col min="15653" max="15653" width="13.5583333333333" style="153" customWidth="1"/>
    <col min="15654" max="15881" width="9.66666666666667" style="153"/>
    <col min="15882" max="15882" width="7.44166666666667" style="153" customWidth="1"/>
    <col min="15883" max="15883" width="11.3333333333333" style="153" customWidth="1"/>
    <col min="15884" max="15884" width="10.4416666666667" style="153" customWidth="1"/>
    <col min="15885" max="15885" width="13.5583333333333" style="153" customWidth="1"/>
    <col min="15886" max="15886" width="10.4416666666667" style="153" customWidth="1"/>
    <col min="15887" max="15890" width="11.6666666666667" style="153" customWidth="1"/>
    <col min="15891" max="15891" width="13.3333333333333" style="153" customWidth="1"/>
    <col min="15892" max="15892" width="13.5583333333333" style="153" customWidth="1"/>
    <col min="15893" max="15896" width="11.3333333333333" style="153" customWidth="1"/>
    <col min="15897" max="15897" width="13.5583333333333" style="153" customWidth="1"/>
    <col min="15898" max="15898" width="10.4416666666667" style="153" customWidth="1"/>
    <col min="15899" max="15899" width="11.3333333333333" style="153" customWidth="1"/>
    <col min="15900" max="15900" width="13.5583333333333" style="153" customWidth="1"/>
    <col min="15901" max="15901" width="4.44166666666667" style="153" customWidth="1"/>
    <col min="15902" max="15902" width="7.44166666666667" style="153" customWidth="1"/>
    <col min="15903" max="15903" width="5.55833333333333" style="153" customWidth="1"/>
    <col min="15904" max="15904" width="13.775" style="153" customWidth="1"/>
    <col min="15905" max="15905" width="13.5583333333333" style="153" customWidth="1"/>
    <col min="15906" max="15906" width="11.3333333333333" style="153" customWidth="1"/>
    <col min="15907" max="15907" width="10.5583333333333" style="153" customWidth="1"/>
    <col min="15908" max="15908" width="11.6666666666667" style="153" customWidth="1"/>
    <col min="15909" max="15909" width="13.5583333333333" style="153" customWidth="1"/>
    <col min="15910" max="16137" width="9.66666666666667" style="153"/>
    <col min="16138" max="16138" width="7.44166666666667" style="153" customWidth="1"/>
    <col min="16139" max="16139" width="11.3333333333333" style="153" customWidth="1"/>
    <col min="16140" max="16140" width="10.4416666666667" style="153" customWidth="1"/>
    <col min="16141" max="16141" width="13.5583333333333" style="153" customWidth="1"/>
    <col min="16142" max="16142" width="10.4416666666667" style="153" customWidth="1"/>
    <col min="16143" max="16146" width="11.6666666666667" style="153" customWidth="1"/>
    <col min="16147" max="16147" width="13.3333333333333" style="153" customWidth="1"/>
    <col min="16148" max="16148" width="13.5583333333333" style="153" customWidth="1"/>
    <col min="16149" max="16152" width="11.3333333333333" style="153" customWidth="1"/>
    <col min="16153" max="16153" width="13.5583333333333" style="153" customWidth="1"/>
    <col min="16154" max="16154" width="10.4416666666667" style="153" customWidth="1"/>
    <col min="16155" max="16155" width="11.3333333333333" style="153" customWidth="1"/>
    <col min="16156" max="16156" width="13.5583333333333" style="153" customWidth="1"/>
    <col min="16157" max="16157" width="4.44166666666667" style="153" customWidth="1"/>
    <col min="16158" max="16158" width="7.44166666666667" style="153" customWidth="1"/>
    <col min="16159" max="16159" width="5.55833333333333" style="153" customWidth="1"/>
    <col min="16160" max="16160" width="13.775" style="153" customWidth="1"/>
    <col min="16161" max="16161" width="13.5583333333333" style="153" customWidth="1"/>
    <col min="16162" max="16162" width="11.3333333333333" style="153" customWidth="1"/>
    <col min="16163" max="16163" width="10.5583333333333" style="153" customWidth="1"/>
    <col min="16164" max="16164" width="11.6666666666667" style="153" customWidth="1"/>
    <col min="16165" max="16165" width="13.5583333333333" style="153" customWidth="1"/>
    <col min="16166" max="16384" width="9.66666666666667" style="153"/>
  </cols>
  <sheetData>
    <row r="1" spans="1:37">
      <c r="A1" s="222" t="s">
        <v>343</v>
      </c>
      <c r="B1" s="222" t="s">
        <v>335</v>
      </c>
      <c r="C1" s="223" t="s">
        <v>344</v>
      </c>
      <c r="D1" s="223"/>
      <c r="E1" s="223"/>
      <c r="F1" s="223"/>
      <c r="G1" s="223"/>
      <c r="H1" s="224" t="s">
        <v>345</v>
      </c>
      <c r="I1" s="242"/>
      <c r="J1" s="242"/>
      <c r="K1" s="242"/>
      <c r="L1" s="224" t="s">
        <v>346</v>
      </c>
      <c r="M1" s="242"/>
      <c r="N1" s="242"/>
      <c r="O1" s="242"/>
      <c r="P1" s="242"/>
      <c r="Q1" s="244"/>
      <c r="R1" s="242" t="s">
        <v>347</v>
      </c>
      <c r="S1" s="242"/>
      <c r="T1" s="242"/>
      <c r="U1" s="242"/>
      <c r="V1" s="245" t="s">
        <v>348</v>
      </c>
      <c r="W1" s="245"/>
      <c r="X1" s="245"/>
      <c r="Y1" s="245"/>
      <c r="Z1" s="226" t="s">
        <v>349</v>
      </c>
      <c r="AB1" s="247" t="s">
        <v>350</v>
      </c>
      <c r="AC1" s="247"/>
      <c r="AD1" s="247"/>
      <c r="AE1" s="247"/>
      <c r="AF1" s="247"/>
      <c r="AG1" s="261">
        <v>0.05</v>
      </c>
      <c r="AH1" s="262"/>
      <c r="AI1" s="262" t="s">
        <v>334</v>
      </c>
      <c r="AJ1" s="262"/>
      <c r="AK1" s="262"/>
    </row>
    <row r="2" spans="1:38">
      <c r="A2" s="225"/>
      <c r="B2" s="225"/>
      <c r="C2" s="226" t="s">
        <v>351</v>
      </c>
      <c r="D2" s="227" t="s">
        <v>352</v>
      </c>
      <c r="E2" s="227" t="s">
        <v>352</v>
      </c>
      <c r="F2" s="227" t="s">
        <v>353</v>
      </c>
      <c r="G2" s="227" t="s">
        <v>354</v>
      </c>
      <c r="H2" s="227" t="s">
        <v>351</v>
      </c>
      <c r="I2" s="227" t="s">
        <v>148</v>
      </c>
      <c r="J2" s="227" t="s">
        <v>3</v>
      </c>
      <c r="K2" s="227" t="s">
        <v>354</v>
      </c>
      <c r="L2" s="226" t="s">
        <v>351</v>
      </c>
      <c r="M2" s="226" t="s">
        <v>355</v>
      </c>
      <c r="N2" s="226" t="s">
        <v>356</v>
      </c>
      <c r="O2" s="226" t="s">
        <v>357</v>
      </c>
      <c r="P2" s="227" t="s">
        <v>358</v>
      </c>
      <c r="Q2" s="227" t="s">
        <v>354</v>
      </c>
      <c r="R2" s="226" t="s">
        <v>351</v>
      </c>
      <c r="S2" s="246" t="s">
        <v>359</v>
      </c>
      <c r="T2" s="227" t="s">
        <v>360</v>
      </c>
      <c r="U2" s="227" t="s">
        <v>354</v>
      </c>
      <c r="V2" s="226" t="s">
        <v>351</v>
      </c>
      <c r="W2" s="246" t="s">
        <v>359</v>
      </c>
      <c r="X2" s="227" t="s">
        <v>360</v>
      </c>
      <c r="Y2" s="227" t="s">
        <v>354</v>
      </c>
      <c r="Z2" s="225"/>
      <c r="AB2" s="233"/>
      <c r="AC2" s="248" t="s">
        <v>335</v>
      </c>
      <c r="AD2" s="249" t="s">
        <v>361</v>
      </c>
      <c r="AE2" s="232" t="s">
        <v>362</v>
      </c>
      <c r="AF2" s="233" t="s">
        <v>363</v>
      </c>
      <c r="AG2" s="232" t="s">
        <v>364</v>
      </c>
      <c r="AH2" s="233" t="s">
        <v>365</v>
      </c>
      <c r="AI2" s="232" t="s">
        <v>113</v>
      </c>
      <c r="AJ2" s="233" t="s">
        <v>366</v>
      </c>
      <c r="AK2" s="233" t="s">
        <v>367</v>
      </c>
      <c r="AL2" s="263" t="str">
        <f>资金流入流出平衡表!A20</f>
        <v>业务成本流出</v>
      </c>
    </row>
    <row r="3" spans="1:38">
      <c r="A3" s="228"/>
      <c r="B3" s="228"/>
      <c r="C3" s="229"/>
      <c r="D3" s="230"/>
      <c r="E3" s="230"/>
      <c r="F3" s="230"/>
      <c r="G3" s="230"/>
      <c r="H3" s="230"/>
      <c r="I3" s="230"/>
      <c r="J3" s="230"/>
      <c r="K3" s="230"/>
      <c r="L3" s="229"/>
      <c r="M3" s="229"/>
      <c r="N3" s="229"/>
      <c r="O3" s="229"/>
      <c r="P3" s="230"/>
      <c r="Q3" s="230"/>
      <c r="R3" s="229"/>
      <c r="S3" s="246"/>
      <c r="T3" s="230"/>
      <c r="U3" s="230"/>
      <c r="V3" s="229"/>
      <c r="W3" s="246"/>
      <c r="X3" s="230"/>
      <c r="Y3" s="230"/>
      <c r="Z3" s="228"/>
      <c r="AB3" s="238"/>
      <c r="AC3" s="250"/>
      <c r="AD3" s="234">
        <v>0.03</v>
      </c>
      <c r="AE3" s="236">
        <v>0.05</v>
      </c>
      <c r="AF3" s="238"/>
      <c r="AG3" s="264">
        <v>0.05</v>
      </c>
      <c r="AH3" s="238"/>
      <c r="AI3" s="236">
        <v>0.02</v>
      </c>
      <c r="AJ3" s="238"/>
      <c r="AK3" s="238"/>
      <c r="AL3" s="263"/>
    </row>
    <row r="4" spans="1:37">
      <c r="A4" s="231" t="s">
        <v>262</v>
      </c>
      <c r="B4" s="232">
        <v>1</v>
      </c>
      <c r="C4" s="232"/>
      <c r="D4" s="232"/>
      <c r="E4" s="232"/>
      <c r="F4" s="232"/>
      <c r="G4" s="232"/>
      <c r="H4" s="232"/>
      <c r="I4" s="232"/>
      <c r="J4" s="232"/>
      <c r="K4" s="232"/>
      <c r="L4" s="232"/>
      <c r="M4" s="232"/>
      <c r="N4" s="232"/>
      <c r="O4" s="232"/>
      <c r="P4" s="232"/>
      <c r="Q4" s="232"/>
      <c r="R4" s="232"/>
      <c r="S4" s="232"/>
      <c r="T4" s="232"/>
      <c r="U4" s="232"/>
      <c r="V4" s="232"/>
      <c r="W4" s="232"/>
      <c r="X4" s="232"/>
      <c r="Y4" s="232"/>
      <c r="Z4" s="251"/>
      <c r="AA4" s="221" t="s">
        <v>368</v>
      </c>
      <c r="AB4" s="252"/>
      <c r="AC4" s="232">
        <v>1</v>
      </c>
      <c r="AD4" s="232"/>
      <c r="AE4" s="253">
        <f>ROUND(Z4*3%,2)</f>
        <v>0</v>
      </c>
      <c r="AF4" s="232"/>
      <c r="AG4" s="232"/>
      <c r="AH4" s="232"/>
      <c r="AI4" s="232"/>
      <c r="AJ4" s="265"/>
      <c r="AK4" s="232"/>
    </row>
    <row r="5" spans="1:38">
      <c r="A5" s="233" t="s">
        <v>369</v>
      </c>
      <c r="B5" s="232">
        <v>2</v>
      </c>
      <c r="C5" s="234">
        <v>0.5</v>
      </c>
      <c r="D5" s="235">
        <v>850</v>
      </c>
      <c r="E5" s="235">
        <v>0</v>
      </c>
      <c r="F5" s="235">
        <v>113.76</v>
      </c>
      <c r="G5" s="235">
        <f>ROUND(D5*F5*C5/10000,2)</f>
        <v>4.83</v>
      </c>
      <c r="H5" s="236">
        <v>0.4</v>
      </c>
      <c r="I5" s="235">
        <v>8</v>
      </c>
      <c r="J5" s="235">
        <v>265</v>
      </c>
      <c r="K5" s="235">
        <f>ROUND(J5*I5*H5*365/10000,2)</f>
        <v>30.95</v>
      </c>
      <c r="L5" s="236">
        <v>0.3</v>
      </c>
      <c r="M5" s="235">
        <v>0.6</v>
      </c>
      <c r="N5" s="235">
        <v>40</v>
      </c>
      <c r="O5" s="235">
        <v>120</v>
      </c>
      <c r="P5" s="235">
        <v>2</v>
      </c>
      <c r="Q5" s="235">
        <f>ROUND(L5*M5*N5*330*P5*O5/10000,2)</f>
        <v>57.02</v>
      </c>
      <c r="R5" s="236">
        <f>V5</f>
        <v>0.5</v>
      </c>
      <c r="S5" s="235">
        <v>0</v>
      </c>
      <c r="T5" s="235">
        <f>X5</f>
        <v>28489</v>
      </c>
      <c r="U5" s="235">
        <f>T5*S5*R5*12/10000</f>
        <v>0</v>
      </c>
      <c r="V5" s="236">
        <f>C5</f>
        <v>0.5</v>
      </c>
      <c r="W5" s="235">
        <v>35</v>
      </c>
      <c r="X5" s="235">
        <f>8400+20089</f>
        <v>28489</v>
      </c>
      <c r="Y5" s="235">
        <f>ROUND(X5*W5*V5*12/10000,2)</f>
        <v>598.27</v>
      </c>
      <c r="Z5" s="254">
        <f>ROUND(G5+K5+Y5+Q5,2)</f>
        <v>691.07</v>
      </c>
      <c r="AA5" s="221">
        <v>122.36</v>
      </c>
      <c r="AB5" s="255" t="s">
        <v>369</v>
      </c>
      <c r="AC5" s="232">
        <v>2</v>
      </c>
      <c r="AD5" s="232"/>
      <c r="AE5" s="253">
        <f>Z5*5%</f>
        <v>34.5535</v>
      </c>
      <c r="AF5" s="253">
        <f>ROUND((项目技术经济指标!I10*项目技术经济指标!J10+项目技术经济指标!K10*项目技术经济指标!L10)*12/10000,2)</f>
        <v>99</v>
      </c>
      <c r="AG5" s="253">
        <f>ROUND(固定资产折旧!$E$17*$AG$1,2)</f>
        <v>35.09</v>
      </c>
      <c r="AH5" s="253"/>
      <c r="AI5" s="253">
        <f>ROUND(Z5*$AI$3,2)</f>
        <v>13.82</v>
      </c>
      <c r="AJ5" s="265">
        <f>税费计算!O6</f>
        <v>71.79</v>
      </c>
      <c r="AK5" s="253">
        <f>ROUND(SUM(AD5:AJ5),2)</f>
        <v>254.25</v>
      </c>
      <c r="AL5" s="266">
        <f>SUM(AE5:AI5)</f>
        <v>182.4635</v>
      </c>
    </row>
    <row r="6" spans="1:38">
      <c r="A6" s="237"/>
      <c r="B6" s="232">
        <v>3</v>
      </c>
      <c r="C6" s="236">
        <f t="shared" ref="C6:C11" si="0">C5+5%</f>
        <v>0.55</v>
      </c>
      <c r="D6" s="235">
        <f>D5</f>
        <v>850</v>
      </c>
      <c r="E6" s="235">
        <f>E5</f>
        <v>0</v>
      </c>
      <c r="F6" s="235">
        <f>F5</f>
        <v>113.76</v>
      </c>
      <c r="G6" s="235">
        <f t="shared" ref="G6:G33" si="1">ROUND(D6*F6*C6/10000,2)</f>
        <v>5.32</v>
      </c>
      <c r="H6" s="236">
        <f>H5+5%</f>
        <v>0.45</v>
      </c>
      <c r="I6" s="235">
        <f>I5</f>
        <v>8</v>
      </c>
      <c r="J6" s="235">
        <f>J5</f>
        <v>265</v>
      </c>
      <c r="K6" s="235">
        <f t="shared" ref="K6:K33" si="2">ROUND(J6*I6*H6*365/10000,2)</f>
        <v>34.82</v>
      </c>
      <c r="L6" s="236">
        <f>L5+10%</f>
        <v>0.4</v>
      </c>
      <c r="M6" s="235">
        <f>M5</f>
        <v>0.6</v>
      </c>
      <c r="N6" s="235">
        <f>N5</f>
        <v>40</v>
      </c>
      <c r="O6" s="235">
        <f>O5</f>
        <v>120</v>
      </c>
      <c r="P6" s="235">
        <f>P5</f>
        <v>2</v>
      </c>
      <c r="Q6" s="235">
        <f t="shared" ref="Q6:Q33" si="3">ROUND(L6*M6*N6*330*P6*O6/10000,2)</f>
        <v>76.03</v>
      </c>
      <c r="R6" s="236">
        <f t="shared" ref="R6:R33" si="4">V6</f>
        <v>0.55</v>
      </c>
      <c r="S6" s="235">
        <f>S5</f>
        <v>0</v>
      </c>
      <c r="T6" s="235">
        <f t="shared" ref="T6:T33" si="5">X6</f>
        <v>28489</v>
      </c>
      <c r="U6" s="235">
        <f t="shared" ref="U6:U33" si="6">T6*S6*R6*12/10000</f>
        <v>0</v>
      </c>
      <c r="V6" s="236">
        <f t="shared" ref="V6:V33" si="7">C6</f>
        <v>0.55</v>
      </c>
      <c r="W6" s="235">
        <f>W5</f>
        <v>35</v>
      </c>
      <c r="X6" s="235">
        <f>X5</f>
        <v>28489</v>
      </c>
      <c r="Y6" s="235">
        <f t="shared" ref="Y6:Y33" si="8">ROUND(X6*W6*V6*12/10000,2)</f>
        <v>658.1</v>
      </c>
      <c r="Z6" s="254">
        <f t="shared" ref="Z6:Z33" si="9">ROUND(G6+K6+Y6+Q6,2)</f>
        <v>774.27</v>
      </c>
      <c r="AA6" s="221">
        <v>132.56</v>
      </c>
      <c r="AB6" s="255"/>
      <c r="AC6" s="232">
        <v>3</v>
      </c>
      <c r="AD6" s="235"/>
      <c r="AE6" s="253">
        <f t="shared" ref="AE6:AE33" si="10">Z6*5%</f>
        <v>38.7135</v>
      </c>
      <c r="AF6" s="253">
        <f>AF5</f>
        <v>99</v>
      </c>
      <c r="AG6" s="253">
        <f>ROUND(固定资产折旧!$E$17*$AG$1,2)</f>
        <v>35.09</v>
      </c>
      <c r="AH6" s="253">
        <v>0</v>
      </c>
      <c r="AI6" s="253">
        <f t="shared" ref="AI6:AI34" si="11">ROUND(Z6*$AI$3,2)</f>
        <v>15.49</v>
      </c>
      <c r="AJ6" s="265">
        <f>税费计算!O7</f>
        <v>78.97</v>
      </c>
      <c r="AK6" s="253">
        <f t="shared" ref="AK6:AK34" si="12">ROUND(SUM(AD6:AJ6),2)</f>
        <v>267.26</v>
      </c>
      <c r="AL6" s="266">
        <f t="shared" ref="AL6:AL34" si="13">SUM(AE6:AI6)</f>
        <v>188.2935</v>
      </c>
    </row>
    <row r="7" spans="1:38">
      <c r="A7" s="237"/>
      <c r="B7" s="232">
        <v>4</v>
      </c>
      <c r="C7" s="236">
        <f t="shared" si="0"/>
        <v>0.6</v>
      </c>
      <c r="D7" s="235">
        <f t="shared" ref="D7:D10" si="14">D6</f>
        <v>850</v>
      </c>
      <c r="E7" s="235">
        <f>E6</f>
        <v>0</v>
      </c>
      <c r="F7" s="235">
        <f>F6</f>
        <v>113.76</v>
      </c>
      <c r="G7" s="235">
        <f t="shared" si="1"/>
        <v>5.8</v>
      </c>
      <c r="H7" s="236">
        <f>H6+5%</f>
        <v>0.5</v>
      </c>
      <c r="I7" s="235">
        <f>I6</f>
        <v>8</v>
      </c>
      <c r="J7" s="235">
        <f>J6</f>
        <v>265</v>
      </c>
      <c r="K7" s="235">
        <f t="shared" si="2"/>
        <v>38.69</v>
      </c>
      <c r="L7" s="236">
        <f>L6+10%</f>
        <v>0.5</v>
      </c>
      <c r="M7" s="235">
        <f>M6</f>
        <v>0.6</v>
      </c>
      <c r="N7" s="235">
        <f>N6</f>
        <v>40</v>
      </c>
      <c r="O7" s="235">
        <f t="shared" ref="O7:O33" si="15">O6</f>
        <v>120</v>
      </c>
      <c r="P7" s="235">
        <f>P6</f>
        <v>2</v>
      </c>
      <c r="Q7" s="235">
        <f t="shared" si="3"/>
        <v>95.04</v>
      </c>
      <c r="R7" s="236">
        <f t="shared" si="4"/>
        <v>0.6</v>
      </c>
      <c r="S7" s="235">
        <f t="shared" ref="S7:S33" si="16">S6</f>
        <v>0</v>
      </c>
      <c r="T7" s="235">
        <f t="shared" si="5"/>
        <v>28489</v>
      </c>
      <c r="U7" s="235">
        <f t="shared" si="6"/>
        <v>0</v>
      </c>
      <c r="V7" s="236">
        <f t="shared" si="7"/>
        <v>0.6</v>
      </c>
      <c r="W7" s="235">
        <f t="shared" ref="W7:W33" si="17">W6</f>
        <v>35</v>
      </c>
      <c r="X7" s="235">
        <f>X6</f>
        <v>28489</v>
      </c>
      <c r="Y7" s="235">
        <f t="shared" si="8"/>
        <v>717.92</v>
      </c>
      <c r="Z7" s="254">
        <f t="shared" si="9"/>
        <v>857.45</v>
      </c>
      <c r="AA7" s="221">
        <v>142.76</v>
      </c>
      <c r="AB7" s="255"/>
      <c r="AC7" s="232">
        <v>4</v>
      </c>
      <c r="AD7" s="235"/>
      <c r="AE7" s="253">
        <f t="shared" si="10"/>
        <v>42.8725</v>
      </c>
      <c r="AF7" s="253">
        <f>AF6</f>
        <v>99</v>
      </c>
      <c r="AG7" s="253">
        <f>ROUND(固定资产折旧!$E$17*$AG$1,2)</f>
        <v>35.09</v>
      </c>
      <c r="AH7" s="253">
        <f>AH6</f>
        <v>0</v>
      </c>
      <c r="AI7" s="253">
        <f t="shared" si="11"/>
        <v>17.15</v>
      </c>
      <c r="AJ7" s="265">
        <f>税费计算!O8</f>
        <v>86.15</v>
      </c>
      <c r="AK7" s="253">
        <f t="shared" si="12"/>
        <v>280.26</v>
      </c>
      <c r="AL7" s="266">
        <f t="shared" si="13"/>
        <v>194.1125</v>
      </c>
    </row>
    <row r="8" spans="1:38">
      <c r="A8" s="237"/>
      <c r="B8" s="232">
        <v>5</v>
      </c>
      <c r="C8" s="236">
        <f t="shared" si="0"/>
        <v>0.65</v>
      </c>
      <c r="D8" s="235">
        <f t="shared" si="14"/>
        <v>850</v>
      </c>
      <c r="E8" s="235">
        <f>E7</f>
        <v>0</v>
      </c>
      <c r="F8" s="235">
        <f t="shared" ref="F8:F34" si="18">F7</f>
        <v>113.76</v>
      </c>
      <c r="G8" s="235">
        <f t="shared" si="1"/>
        <v>6.29</v>
      </c>
      <c r="H8" s="236">
        <f>L8+5%</f>
        <v>0.6</v>
      </c>
      <c r="I8" s="235">
        <f>I7</f>
        <v>8</v>
      </c>
      <c r="J8" s="235">
        <f t="shared" ref="J8:J33" si="19">J7</f>
        <v>265</v>
      </c>
      <c r="K8" s="235">
        <f t="shared" si="2"/>
        <v>46.43</v>
      </c>
      <c r="L8" s="236">
        <f>L7+5%</f>
        <v>0.55</v>
      </c>
      <c r="M8" s="235">
        <f>M7</f>
        <v>0.6</v>
      </c>
      <c r="N8" s="235">
        <f t="shared" ref="N8:N35" si="20">N7</f>
        <v>40</v>
      </c>
      <c r="O8" s="235">
        <f t="shared" si="15"/>
        <v>120</v>
      </c>
      <c r="P8" s="235">
        <f t="shared" ref="P8:P34" si="21">P7</f>
        <v>2</v>
      </c>
      <c r="Q8" s="235">
        <f t="shared" si="3"/>
        <v>104.54</v>
      </c>
      <c r="R8" s="236">
        <f t="shared" si="4"/>
        <v>0.65</v>
      </c>
      <c r="S8" s="235">
        <f t="shared" si="16"/>
        <v>0</v>
      </c>
      <c r="T8" s="235">
        <f t="shared" si="5"/>
        <v>28489</v>
      </c>
      <c r="U8" s="235">
        <f t="shared" si="6"/>
        <v>0</v>
      </c>
      <c r="V8" s="236">
        <f t="shared" si="7"/>
        <v>0.65</v>
      </c>
      <c r="W8" s="235">
        <f t="shared" si="17"/>
        <v>35</v>
      </c>
      <c r="X8" s="235">
        <f t="shared" ref="X8:X35" si="22">X7</f>
        <v>28489</v>
      </c>
      <c r="Y8" s="235">
        <f t="shared" si="8"/>
        <v>777.75</v>
      </c>
      <c r="Z8" s="254">
        <f t="shared" si="9"/>
        <v>935.01</v>
      </c>
      <c r="AA8" s="221">
        <v>152.96</v>
      </c>
      <c r="AB8" s="255"/>
      <c r="AC8" s="232">
        <v>5</v>
      </c>
      <c r="AD8" s="235"/>
      <c r="AE8" s="253">
        <f t="shared" si="10"/>
        <v>46.7505</v>
      </c>
      <c r="AF8" s="253">
        <f>AF7</f>
        <v>99</v>
      </c>
      <c r="AG8" s="253">
        <f>ROUND(固定资产折旧!$E$17*$AG$1,2)</f>
        <v>35.09</v>
      </c>
      <c r="AH8" s="253">
        <f t="shared" ref="AH8:AH34" si="23">AH7</f>
        <v>0</v>
      </c>
      <c r="AI8" s="253">
        <f t="shared" si="11"/>
        <v>18.7</v>
      </c>
      <c r="AJ8" s="265">
        <f>税费计算!O9</f>
        <v>93.33</v>
      </c>
      <c r="AK8" s="253">
        <f t="shared" si="12"/>
        <v>292.87</v>
      </c>
      <c r="AL8" s="266">
        <f t="shared" si="13"/>
        <v>199.5405</v>
      </c>
    </row>
    <row r="9" spans="1:38">
      <c r="A9" s="237"/>
      <c r="B9" s="232">
        <v>6</v>
      </c>
      <c r="C9" s="236">
        <f t="shared" si="0"/>
        <v>0.7</v>
      </c>
      <c r="D9" s="235">
        <f t="shared" si="14"/>
        <v>850</v>
      </c>
      <c r="E9" s="235">
        <f t="shared" ref="E9:E34" si="24">E8</f>
        <v>0</v>
      </c>
      <c r="F9" s="235">
        <f t="shared" si="18"/>
        <v>113.76</v>
      </c>
      <c r="G9" s="235">
        <f t="shared" si="1"/>
        <v>6.77</v>
      </c>
      <c r="H9" s="236">
        <v>0.6</v>
      </c>
      <c r="I9" s="235">
        <f>I8</f>
        <v>8</v>
      </c>
      <c r="J9" s="235">
        <f t="shared" si="19"/>
        <v>265</v>
      </c>
      <c r="K9" s="235">
        <f t="shared" si="2"/>
        <v>46.43</v>
      </c>
      <c r="L9" s="236">
        <f>L8+5%</f>
        <v>0.6</v>
      </c>
      <c r="M9" s="235">
        <f>M8</f>
        <v>0.6</v>
      </c>
      <c r="N9" s="235">
        <f t="shared" si="20"/>
        <v>40</v>
      </c>
      <c r="O9" s="235">
        <f t="shared" si="15"/>
        <v>120</v>
      </c>
      <c r="P9" s="235">
        <f t="shared" si="21"/>
        <v>2</v>
      </c>
      <c r="Q9" s="235">
        <f t="shared" si="3"/>
        <v>114.05</v>
      </c>
      <c r="R9" s="236">
        <f t="shared" si="4"/>
        <v>0.7</v>
      </c>
      <c r="S9" s="235">
        <f t="shared" si="16"/>
        <v>0</v>
      </c>
      <c r="T9" s="235">
        <f t="shared" si="5"/>
        <v>28489</v>
      </c>
      <c r="U9" s="235">
        <f t="shared" si="6"/>
        <v>0</v>
      </c>
      <c r="V9" s="236">
        <f t="shared" si="7"/>
        <v>0.7</v>
      </c>
      <c r="W9" s="235">
        <f t="shared" si="17"/>
        <v>35</v>
      </c>
      <c r="X9" s="235">
        <f t="shared" si="22"/>
        <v>28489</v>
      </c>
      <c r="Y9" s="235">
        <f t="shared" si="8"/>
        <v>837.58</v>
      </c>
      <c r="Z9" s="254">
        <f t="shared" si="9"/>
        <v>1004.83</v>
      </c>
      <c r="AA9" s="221">
        <v>163.15</v>
      </c>
      <c r="AB9" s="255"/>
      <c r="AC9" s="232">
        <v>6</v>
      </c>
      <c r="AD9" s="235"/>
      <c r="AE9" s="253">
        <f t="shared" si="10"/>
        <v>50.2415</v>
      </c>
      <c r="AF9" s="253">
        <f>AF8</f>
        <v>99</v>
      </c>
      <c r="AG9" s="253">
        <f>ROUND(固定资产折旧!$E$17*$AG$1,2)</f>
        <v>35.09</v>
      </c>
      <c r="AH9" s="253">
        <f t="shared" si="23"/>
        <v>0</v>
      </c>
      <c r="AI9" s="253">
        <f t="shared" si="11"/>
        <v>20.1</v>
      </c>
      <c r="AJ9" s="265">
        <f>税费计算!O10</f>
        <v>100.51</v>
      </c>
      <c r="AK9" s="253">
        <f t="shared" si="12"/>
        <v>304.94</v>
      </c>
      <c r="AL9" s="266">
        <f t="shared" si="13"/>
        <v>204.4315</v>
      </c>
    </row>
    <row r="10" spans="1:40">
      <c r="A10" s="237"/>
      <c r="B10" s="232">
        <v>7</v>
      </c>
      <c r="C10" s="236">
        <f>C9+5%</f>
        <v>0.75</v>
      </c>
      <c r="D10" s="235">
        <f>ROUND(D5*1.05,2)</f>
        <v>892.5</v>
      </c>
      <c r="E10" s="235">
        <f t="shared" si="24"/>
        <v>0</v>
      </c>
      <c r="F10" s="235">
        <f t="shared" si="18"/>
        <v>113.76</v>
      </c>
      <c r="G10" s="235">
        <f t="shared" si="1"/>
        <v>7.61</v>
      </c>
      <c r="H10" s="236">
        <f>H9+5%</f>
        <v>0.65</v>
      </c>
      <c r="I10" s="235">
        <f>ROUND(I9*1.05,2)</f>
        <v>8.4</v>
      </c>
      <c r="J10" s="235">
        <f t="shared" si="19"/>
        <v>265</v>
      </c>
      <c r="K10" s="235">
        <f t="shared" si="2"/>
        <v>52.81</v>
      </c>
      <c r="L10" s="236">
        <f>L9</f>
        <v>0.6</v>
      </c>
      <c r="M10" s="235">
        <f>M5*1.1</f>
        <v>0.66</v>
      </c>
      <c r="N10" s="235">
        <f t="shared" si="20"/>
        <v>40</v>
      </c>
      <c r="O10" s="235">
        <f t="shared" si="15"/>
        <v>120</v>
      </c>
      <c r="P10" s="235">
        <f t="shared" si="21"/>
        <v>2</v>
      </c>
      <c r="Q10" s="235">
        <f t="shared" si="3"/>
        <v>125.45</v>
      </c>
      <c r="R10" s="236">
        <f t="shared" si="4"/>
        <v>0.75</v>
      </c>
      <c r="S10" s="235">
        <f>S9*1.05</f>
        <v>0</v>
      </c>
      <c r="T10" s="235">
        <f t="shared" si="5"/>
        <v>28489</v>
      </c>
      <c r="U10" s="235">
        <f t="shared" si="6"/>
        <v>0</v>
      </c>
      <c r="V10" s="236">
        <f t="shared" si="7"/>
        <v>0.75</v>
      </c>
      <c r="W10" s="235">
        <f>ROUND(W9*1.05,2)</f>
        <v>36.75</v>
      </c>
      <c r="X10" s="235">
        <f t="shared" si="22"/>
        <v>28489</v>
      </c>
      <c r="Y10" s="235">
        <f t="shared" si="8"/>
        <v>942.27</v>
      </c>
      <c r="Z10" s="254">
        <f t="shared" si="9"/>
        <v>1128.14</v>
      </c>
      <c r="AA10" s="221">
        <v>190.68</v>
      </c>
      <c r="AB10" s="255"/>
      <c r="AC10" s="232">
        <v>7</v>
      </c>
      <c r="AD10" s="235"/>
      <c r="AE10" s="253">
        <f t="shared" si="10"/>
        <v>56.407</v>
      </c>
      <c r="AF10" s="253">
        <f>AF5*(1+项目技术经济指标!$M$10)</f>
        <v>108.9</v>
      </c>
      <c r="AG10" s="253">
        <f>AG5*(1+$AG$3)</f>
        <v>36.8445</v>
      </c>
      <c r="AH10" s="253">
        <f t="shared" si="23"/>
        <v>0</v>
      </c>
      <c r="AI10" s="253">
        <f t="shared" si="11"/>
        <v>22.56</v>
      </c>
      <c r="AJ10" s="265">
        <f>税费计算!O11</f>
        <v>113.07</v>
      </c>
      <c r="AK10" s="253">
        <f t="shared" si="12"/>
        <v>337.78</v>
      </c>
      <c r="AL10" s="266">
        <f t="shared" si="13"/>
        <v>224.7115</v>
      </c>
      <c r="AN10" s="153">
        <v>69.7</v>
      </c>
    </row>
    <row r="11" spans="1:40">
      <c r="A11" s="237"/>
      <c r="B11" s="232">
        <v>8</v>
      </c>
      <c r="C11" s="236">
        <f>C10</f>
        <v>0.75</v>
      </c>
      <c r="D11" s="235">
        <f>ROUND(D6*1.05,2)</f>
        <v>892.5</v>
      </c>
      <c r="E11" s="235">
        <f t="shared" si="24"/>
        <v>0</v>
      </c>
      <c r="F11" s="235">
        <f t="shared" si="18"/>
        <v>113.76</v>
      </c>
      <c r="G11" s="235">
        <f t="shared" si="1"/>
        <v>7.61</v>
      </c>
      <c r="H11" s="236">
        <f>H10</f>
        <v>0.65</v>
      </c>
      <c r="I11" s="235">
        <f>I10</f>
        <v>8.4</v>
      </c>
      <c r="J11" s="235">
        <f t="shared" si="19"/>
        <v>265</v>
      </c>
      <c r="K11" s="235">
        <f t="shared" si="2"/>
        <v>52.81</v>
      </c>
      <c r="L11" s="236">
        <f t="shared" ref="L8:L13" si="25">L10</f>
        <v>0.6</v>
      </c>
      <c r="M11" s="235">
        <f t="shared" ref="M11:M33" si="26">M6*1.1</f>
        <v>0.66</v>
      </c>
      <c r="N11" s="235">
        <f t="shared" si="20"/>
        <v>40</v>
      </c>
      <c r="O11" s="235">
        <f t="shared" si="15"/>
        <v>120</v>
      </c>
      <c r="P11" s="235">
        <f t="shared" si="21"/>
        <v>2</v>
      </c>
      <c r="Q11" s="235">
        <f t="shared" si="3"/>
        <v>125.45</v>
      </c>
      <c r="R11" s="236">
        <f t="shared" si="4"/>
        <v>0.75</v>
      </c>
      <c r="S11" s="235">
        <f t="shared" si="16"/>
        <v>0</v>
      </c>
      <c r="T11" s="235">
        <f t="shared" si="5"/>
        <v>28489</v>
      </c>
      <c r="U11" s="235">
        <f t="shared" si="6"/>
        <v>0</v>
      </c>
      <c r="V11" s="236">
        <f t="shared" si="7"/>
        <v>0.75</v>
      </c>
      <c r="W11" s="235">
        <f t="shared" si="17"/>
        <v>36.75</v>
      </c>
      <c r="X11" s="235">
        <f t="shared" si="22"/>
        <v>28489</v>
      </c>
      <c r="Y11" s="235">
        <f t="shared" si="8"/>
        <v>942.27</v>
      </c>
      <c r="Z11" s="254">
        <f t="shared" si="9"/>
        <v>1128.14</v>
      </c>
      <c r="AA11" s="221">
        <v>190.68</v>
      </c>
      <c r="AB11" s="255"/>
      <c r="AC11" s="232">
        <v>8</v>
      </c>
      <c r="AD11" s="235"/>
      <c r="AE11" s="253">
        <f t="shared" si="10"/>
        <v>56.407</v>
      </c>
      <c r="AF11" s="253">
        <f>AF6*(1+项目技术经济指标!$M$10)</f>
        <v>108.9</v>
      </c>
      <c r="AG11" s="253">
        <f t="shared" ref="AG11:AG33" si="27">AG6*(1+$AG$3)</f>
        <v>36.8445</v>
      </c>
      <c r="AH11" s="253">
        <f t="shared" si="23"/>
        <v>0</v>
      </c>
      <c r="AI11" s="253">
        <f t="shared" si="11"/>
        <v>22.56</v>
      </c>
      <c r="AJ11" s="265">
        <f>税费计算!O12</f>
        <v>113.07</v>
      </c>
      <c r="AK11" s="253">
        <f t="shared" si="12"/>
        <v>337.78</v>
      </c>
      <c r="AL11" s="266">
        <f t="shared" si="13"/>
        <v>224.7115</v>
      </c>
      <c r="AN11" s="153">
        <v>200</v>
      </c>
    </row>
    <row r="12" spans="1:40">
      <c r="A12" s="237"/>
      <c r="B12" s="232">
        <v>9</v>
      </c>
      <c r="C12" s="236">
        <f>C11</f>
        <v>0.75</v>
      </c>
      <c r="D12" s="235">
        <f>ROUND(D7*1.05,2)</f>
        <v>892.5</v>
      </c>
      <c r="E12" s="235">
        <f t="shared" si="24"/>
        <v>0</v>
      </c>
      <c r="F12" s="235">
        <f t="shared" si="18"/>
        <v>113.76</v>
      </c>
      <c r="G12" s="235">
        <f t="shared" si="1"/>
        <v>7.61</v>
      </c>
      <c r="H12" s="236">
        <f>H11</f>
        <v>0.65</v>
      </c>
      <c r="I12" s="235">
        <f>I11</f>
        <v>8.4</v>
      </c>
      <c r="J12" s="235">
        <f t="shared" si="19"/>
        <v>265</v>
      </c>
      <c r="K12" s="235">
        <f t="shared" si="2"/>
        <v>52.81</v>
      </c>
      <c r="L12" s="236">
        <f t="shared" si="25"/>
        <v>0.6</v>
      </c>
      <c r="M12" s="235">
        <f t="shared" si="26"/>
        <v>0.66</v>
      </c>
      <c r="N12" s="235">
        <f t="shared" si="20"/>
        <v>40</v>
      </c>
      <c r="O12" s="235">
        <f t="shared" si="15"/>
        <v>120</v>
      </c>
      <c r="P12" s="235">
        <f t="shared" si="21"/>
        <v>2</v>
      </c>
      <c r="Q12" s="235">
        <f t="shared" si="3"/>
        <v>125.45</v>
      </c>
      <c r="R12" s="236">
        <f t="shared" si="4"/>
        <v>0.75</v>
      </c>
      <c r="S12" s="235">
        <f t="shared" si="16"/>
        <v>0</v>
      </c>
      <c r="T12" s="235">
        <f t="shared" si="5"/>
        <v>28489</v>
      </c>
      <c r="U12" s="235">
        <f t="shared" si="6"/>
        <v>0</v>
      </c>
      <c r="V12" s="236">
        <f t="shared" si="7"/>
        <v>0.75</v>
      </c>
      <c r="W12" s="235">
        <f t="shared" si="17"/>
        <v>36.75</v>
      </c>
      <c r="X12" s="235">
        <f t="shared" si="22"/>
        <v>28489</v>
      </c>
      <c r="Y12" s="235">
        <f t="shared" si="8"/>
        <v>942.27</v>
      </c>
      <c r="Z12" s="254">
        <f t="shared" si="9"/>
        <v>1128.14</v>
      </c>
      <c r="AA12" s="221">
        <v>190.68</v>
      </c>
      <c r="AB12" s="255"/>
      <c r="AC12" s="232">
        <v>9</v>
      </c>
      <c r="AD12" s="235"/>
      <c r="AE12" s="253">
        <f t="shared" si="10"/>
        <v>56.407</v>
      </c>
      <c r="AF12" s="253">
        <f>AF7*(1+项目技术经济指标!$M$10)</f>
        <v>108.9</v>
      </c>
      <c r="AG12" s="253">
        <f t="shared" si="27"/>
        <v>36.8445</v>
      </c>
      <c r="AH12" s="253">
        <f t="shared" si="23"/>
        <v>0</v>
      </c>
      <c r="AI12" s="253">
        <f t="shared" si="11"/>
        <v>22.56</v>
      </c>
      <c r="AJ12" s="265">
        <f>税费计算!O13</f>
        <v>113.07</v>
      </c>
      <c r="AK12" s="253">
        <f t="shared" si="12"/>
        <v>337.78</v>
      </c>
      <c r="AL12" s="266">
        <f t="shared" si="13"/>
        <v>224.7115</v>
      </c>
      <c r="AN12" s="153">
        <v>50</v>
      </c>
    </row>
    <row r="13" spans="1:40">
      <c r="A13" s="237"/>
      <c r="B13" s="232">
        <v>10</v>
      </c>
      <c r="C13" s="236">
        <f t="shared" ref="C10:C34" si="28">C12</f>
        <v>0.75</v>
      </c>
      <c r="D13" s="235">
        <f>ROUND(D8*1.05,2)</f>
        <v>892.5</v>
      </c>
      <c r="E13" s="235">
        <f t="shared" si="24"/>
        <v>0</v>
      </c>
      <c r="F13" s="235">
        <f t="shared" si="18"/>
        <v>113.76</v>
      </c>
      <c r="G13" s="235">
        <f t="shared" si="1"/>
        <v>7.61</v>
      </c>
      <c r="H13" s="236">
        <f t="shared" ref="H13:H33" si="29">H12</f>
        <v>0.65</v>
      </c>
      <c r="I13" s="235">
        <f>I12</f>
        <v>8.4</v>
      </c>
      <c r="J13" s="235">
        <f t="shared" si="19"/>
        <v>265</v>
      </c>
      <c r="K13" s="235">
        <f t="shared" si="2"/>
        <v>52.81</v>
      </c>
      <c r="L13" s="236">
        <f t="shared" si="25"/>
        <v>0.6</v>
      </c>
      <c r="M13" s="235">
        <f t="shared" si="26"/>
        <v>0.66</v>
      </c>
      <c r="N13" s="235">
        <f t="shared" si="20"/>
        <v>40</v>
      </c>
      <c r="O13" s="235">
        <f t="shared" si="15"/>
        <v>120</v>
      </c>
      <c r="P13" s="235">
        <f t="shared" si="21"/>
        <v>2</v>
      </c>
      <c r="Q13" s="235">
        <f t="shared" si="3"/>
        <v>125.45</v>
      </c>
      <c r="R13" s="236">
        <f t="shared" si="4"/>
        <v>0.75</v>
      </c>
      <c r="S13" s="235">
        <f t="shared" si="16"/>
        <v>0</v>
      </c>
      <c r="T13" s="235">
        <f t="shared" si="5"/>
        <v>28489</v>
      </c>
      <c r="U13" s="235">
        <f t="shared" si="6"/>
        <v>0</v>
      </c>
      <c r="V13" s="236">
        <f t="shared" si="7"/>
        <v>0.75</v>
      </c>
      <c r="W13" s="235">
        <f t="shared" si="17"/>
        <v>36.75</v>
      </c>
      <c r="X13" s="235">
        <f t="shared" si="22"/>
        <v>28489</v>
      </c>
      <c r="Y13" s="235">
        <f t="shared" si="8"/>
        <v>942.27</v>
      </c>
      <c r="Z13" s="254">
        <f t="shared" si="9"/>
        <v>1128.14</v>
      </c>
      <c r="AA13" s="221">
        <v>190.68</v>
      </c>
      <c r="AB13" s="255"/>
      <c r="AC13" s="232">
        <v>10</v>
      </c>
      <c r="AD13" s="235"/>
      <c r="AE13" s="253">
        <f t="shared" si="10"/>
        <v>56.407</v>
      </c>
      <c r="AF13" s="253">
        <f>AF8*(1+项目技术经济指标!$M$10)</f>
        <v>108.9</v>
      </c>
      <c r="AG13" s="253">
        <f t="shared" si="27"/>
        <v>36.8445</v>
      </c>
      <c r="AH13" s="253">
        <f t="shared" si="23"/>
        <v>0</v>
      </c>
      <c r="AI13" s="253">
        <f t="shared" si="11"/>
        <v>22.56</v>
      </c>
      <c r="AJ13" s="265">
        <f>税费计算!O14</f>
        <v>113.07</v>
      </c>
      <c r="AK13" s="253">
        <f t="shared" si="12"/>
        <v>337.78</v>
      </c>
      <c r="AL13" s="266">
        <f t="shared" si="13"/>
        <v>224.7115</v>
      </c>
      <c r="AN13" s="153">
        <v>100</v>
      </c>
    </row>
    <row r="14" spans="1:40">
      <c r="A14" s="237"/>
      <c r="B14" s="232">
        <v>11</v>
      </c>
      <c r="C14" s="236">
        <f t="shared" si="28"/>
        <v>0.75</v>
      </c>
      <c r="D14" s="235">
        <f>ROUND(D9*1.05,2)</f>
        <v>892.5</v>
      </c>
      <c r="E14" s="235">
        <f t="shared" si="24"/>
        <v>0</v>
      </c>
      <c r="F14" s="235">
        <f t="shared" si="18"/>
        <v>113.76</v>
      </c>
      <c r="G14" s="235">
        <f t="shared" si="1"/>
        <v>7.61</v>
      </c>
      <c r="H14" s="236">
        <f t="shared" si="29"/>
        <v>0.65</v>
      </c>
      <c r="I14" s="235">
        <f>I13</f>
        <v>8.4</v>
      </c>
      <c r="J14" s="235">
        <f t="shared" si="19"/>
        <v>265</v>
      </c>
      <c r="K14" s="235">
        <f t="shared" si="2"/>
        <v>52.81</v>
      </c>
      <c r="L14" s="236">
        <f t="shared" ref="L10:L33" si="30">L13</f>
        <v>0.6</v>
      </c>
      <c r="M14" s="235">
        <f t="shared" si="26"/>
        <v>0.66</v>
      </c>
      <c r="N14" s="235">
        <f t="shared" si="20"/>
        <v>40</v>
      </c>
      <c r="O14" s="235">
        <f t="shared" si="15"/>
        <v>120</v>
      </c>
      <c r="P14" s="235">
        <f t="shared" si="21"/>
        <v>2</v>
      </c>
      <c r="Q14" s="235">
        <f t="shared" si="3"/>
        <v>125.45</v>
      </c>
      <c r="R14" s="236">
        <f t="shared" si="4"/>
        <v>0.75</v>
      </c>
      <c r="S14" s="235">
        <f t="shared" si="16"/>
        <v>0</v>
      </c>
      <c r="T14" s="235">
        <f t="shared" si="5"/>
        <v>28489</v>
      </c>
      <c r="U14" s="235">
        <f t="shared" si="6"/>
        <v>0</v>
      </c>
      <c r="V14" s="236">
        <f t="shared" si="7"/>
        <v>0.75</v>
      </c>
      <c r="W14" s="235">
        <f t="shared" si="17"/>
        <v>36.75</v>
      </c>
      <c r="X14" s="235">
        <f t="shared" si="22"/>
        <v>28489</v>
      </c>
      <c r="Y14" s="235">
        <f t="shared" si="8"/>
        <v>942.27</v>
      </c>
      <c r="Z14" s="254">
        <f t="shared" si="9"/>
        <v>1128.14</v>
      </c>
      <c r="AA14" s="221">
        <v>190.68</v>
      </c>
      <c r="AB14" s="255"/>
      <c r="AC14" s="232">
        <v>11</v>
      </c>
      <c r="AD14" s="235"/>
      <c r="AE14" s="253">
        <f t="shared" si="10"/>
        <v>56.407</v>
      </c>
      <c r="AF14" s="253">
        <f>AF9*(1+项目技术经济指标!$M$10)</f>
        <v>108.9</v>
      </c>
      <c r="AG14" s="253">
        <f t="shared" si="27"/>
        <v>36.8445</v>
      </c>
      <c r="AH14" s="253">
        <f t="shared" si="23"/>
        <v>0</v>
      </c>
      <c r="AI14" s="253">
        <f t="shared" si="11"/>
        <v>22.56</v>
      </c>
      <c r="AJ14" s="265">
        <f>税费计算!O15</f>
        <v>113.07</v>
      </c>
      <c r="AK14" s="253">
        <f t="shared" si="12"/>
        <v>337.78</v>
      </c>
      <c r="AL14" s="266">
        <f t="shared" si="13"/>
        <v>224.7115</v>
      </c>
      <c r="AN14" s="153">
        <v>26.7</v>
      </c>
    </row>
    <row r="15" spans="1:40">
      <c r="A15" s="237"/>
      <c r="B15" s="232">
        <v>12</v>
      </c>
      <c r="C15" s="236">
        <f t="shared" si="28"/>
        <v>0.75</v>
      </c>
      <c r="D15" s="235">
        <f t="shared" ref="D15:D33" si="31">ROUND(D10*1.05,2)</f>
        <v>937.13</v>
      </c>
      <c r="E15" s="235">
        <f t="shared" si="24"/>
        <v>0</v>
      </c>
      <c r="F15" s="235">
        <f t="shared" si="18"/>
        <v>113.76</v>
      </c>
      <c r="G15" s="235">
        <f t="shared" si="1"/>
        <v>8</v>
      </c>
      <c r="H15" s="236">
        <f t="shared" si="29"/>
        <v>0.65</v>
      </c>
      <c r="I15" s="235">
        <f>ROUND(I14*1.05,2)</f>
        <v>8.82</v>
      </c>
      <c r="J15" s="235">
        <f t="shared" si="19"/>
        <v>265</v>
      </c>
      <c r="K15" s="235">
        <f t="shared" si="2"/>
        <v>55.45</v>
      </c>
      <c r="L15" s="236">
        <f t="shared" si="30"/>
        <v>0.6</v>
      </c>
      <c r="M15" s="235">
        <f t="shared" si="26"/>
        <v>0.726</v>
      </c>
      <c r="N15" s="235">
        <f t="shared" si="20"/>
        <v>40</v>
      </c>
      <c r="O15" s="235">
        <f t="shared" si="15"/>
        <v>120</v>
      </c>
      <c r="P15" s="235">
        <f t="shared" si="21"/>
        <v>2</v>
      </c>
      <c r="Q15" s="235">
        <f t="shared" si="3"/>
        <v>138</v>
      </c>
      <c r="R15" s="236">
        <f t="shared" si="4"/>
        <v>0.75</v>
      </c>
      <c r="S15" s="235">
        <f>S14*1.05</f>
        <v>0</v>
      </c>
      <c r="T15" s="235">
        <f t="shared" si="5"/>
        <v>28489</v>
      </c>
      <c r="U15" s="235">
        <f t="shared" si="6"/>
        <v>0</v>
      </c>
      <c r="V15" s="236">
        <f t="shared" si="7"/>
        <v>0.75</v>
      </c>
      <c r="W15" s="235">
        <f>ROUND(W14*1.05,2)</f>
        <v>38.59</v>
      </c>
      <c r="X15" s="235">
        <f t="shared" si="22"/>
        <v>28489</v>
      </c>
      <c r="Y15" s="235">
        <f t="shared" si="8"/>
        <v>989.45</v>
      </c>
      <c r="Z15" s="254">
        <f t="shared" si="9"/>
        <v>1190.9</v>
      </c>
      <c r="AA15" s="221">
        <v>209.75</v>
      </c>
      <c r="AB15" s="255"/>
      <c r="AC15" s="232">
        <v>12</v>
      </c>
      <c r="AD15" s="235"/>
      <c r="AE15" s="253">
        <f t="shared" si="10"/>
        <v>59.545</v>
      </c>
      <c r="AF15" s="253">
        <f>AF10*(1+项目技术经济指标!$M$10)</f>
        <v>119.79</v>
      </c>
      <c r="AG15" s="253">
        <f t="shared" si="27"/>
        <v>38.686725</v>
      </c>
      <c r="AH15" s="253">
        <f t="shared" si="23"/>
        <v>0</v>
      </c>
      <c r="AI15" s="253">
        <f t="shared" si="11"/>
        <v>23.82</v>
      </c>
      <c r="AJ15" s="265">
        <f>税费计算!O16</f>
        <v>118.73</v>
      </c>
      <c r="AK15" s="253">
        <f t="shared" si="12"/>
        <v>360.57</v>
      </c>
      <c r="AL15" s="266">
        <f t="shared" si="13"/>
        <v>241.841725</v>
      </c>
      <c r="AN15" s="153">
        <v>87.6</v>
      </c>
    </row>
    <row r="16" spans="1:38">
      <c r="A16" s="237"/>
      <c r="B16" s="232">
        <v>13</v>
      </c>
      <c r="C16" s="236">
        <f t="shared" si="28"/>
        <v>0.75</v>
      </c>
      <c r="D16" s="235">
        <f t="shared" si="31"/>
        <v>937.13</v>
      </c>
      <c r="E16" s="235">
        <f t="shared" si="24"/>
        <v>0</v>
      </c>
      <c r="F16" s="235">
        <f t="shared" si="18"/>
        <v>113.76</v>
      </c>
      <c r="G16" s="235">
        <f t="shared" si="1"/>
        <v>8</v>
      </c>
      <c r="H16" s="236">
        <f t="shared" si="29"/>
        <v>0.65</v>
      </c>
      <c r="I16" s="235">
        <f>I15</f>
        <v>8.82</v>
      </c>
      <c r="J16" s="235">
        <f t="shared" si="19"/>
        <v>265</v>
      </c>
      <c r="K16" s="235">
        <f t="shared" si="2"/>
        <v>55.45</v>
      </c>
      <c r="L16" s="236">
        <f t="shared" si="30"/>
        <v>0.6</v>
      </c>
      <c r="M16" s="235">
        <f t="shared" si="26"/>
        <v>0.726</v>
      </c>
      <c r="N16" s="235">
        <f t="shared" si="20"/>
        <v>40</v>
      </c>
      <c r="O16" s="235">
        <f t="shared" si="15"/>
        <v>120</v>
      </c>
      <c r="P16" s="235">
        <f t="shared" si="21"/>
        <v>2</v>
      </c>
      <c r="Q16" s="235">
        <f t="shared" si="3"/>
        <v>138</v>
      </c>
      <c r="R16" s="236">
        <f t="shared" si="4"/>
        <v>0.75</v>
      </c>
      <c r="S16" s="235">
        <f t="shared" si="16"/>
        <v>0</v>
      </c>
      <c r="T16" s="235">
        <f t="shared" si="5"/>
        <v>28489</v>
      </c>
      <c r="U16" s="235">
        <f t="shared" si="6"/>
        <v>0</v>
      </c>
      <c r="V16" s="236">
        <f t="shared" si="7"/>
        <v>0.75</v>
      </c>
      <c r="W16" s="235">
        <f t="shared" si="17"/>
        <v>38.59</v>
      </c>
      <c r="X16" s="235">
        <f t="shared" si="22"/>
        <v>28489</v>
      </c>
      <c r="Y16" s="235">
        <f t="shared" si="8"/>
        <v>989.45</v>
      </c>
      <c r="Z16" s="254">
        <f t="shared" si="9"/>
        <v>1190.9</v>
      </c>
      <c r="AA16" s="221">
        <v>209.75</v>
      </c>
      <c r="AB16" s="255"/>
      <c r="AC16" s="232">
        <v>13</v>
      </c>
      <c r="AD16" s="235"/>
      <c r="AE16" s="253">
        <f t="shared" si="10"/>
        <v>59.545</v>
      </c>
      <c r="AF16" s="253">
        <f>AF11*(1+项目技术经济指标!$M$10)</f>
        <v>119.79</v>
      </c>
      <c r="AG16" s="253">
        <f t="shared" si="27"/>
        <v>38.686725</v>
      </c>
      <c r="AH16" s="253">
        <f t="shared" si="23"/>
        <v>0</v>
      </c>
      <c r="AI16" s="253">
        <f t="shared" si="11"/>
        <v>23.82</v>
      </c>
      <c r="AJ16" s="265">
        <f>税费计算!O17</f>
        <v>118.73</v>
      </c>
      <c r="AK16" s="253">
        <f t="shared" si="12"/>
        <v>360.57</v>
      </c>
      <c r="AL16" s="266">
        <f t="shared" si="13"/>
        <v>241.841725</v>
      </c>
    </row>
    <row r="17" spans="1:39">
      <c r="A17" s="237"/>
      <c r="B17" s="232">
        <v>14</v>
      </c>
      <c r="C17" s="236">
        <f t="shared" si="28"/>
        <v>0.75</v>
      </c>
      <c r="D17" s="235">
        <f t="shared" si="31"/>
        <v>937.13</v>
      </c>
      <c r="E17" s="235">
        <f t="shared" si="24"/>
        <v>0</v>
      </c>
      <c r="F17" s="235">
        <f t="shared" si="18"/>
        <v>113.76</v>
      </c>
      <c r="G17" s="235">
        <f t="shared" si="1"/>
        <v>8</v>
      </c>
      <c r="H17" s="236">
        <f t="shared" si="29"/>
        <v>0.65</v>
      </c>
      <c r="I17" s="235">
        <f>I16</f>
        <v>8.82</v>
      </c>
      <c r="J17" s="235">
        <f t="shared" si="19"/>
        <v>265</v>
      </c>
      <c r="K17" s="235">
        <f t="shared" si="2"/>
        <v>55.45</v>
      </c>
      <c r="L17" s="236">
        <f t="shared" si="30"/>
        <v>0.6</v>
      </c>
      <c r="M17" s="235">
        <f t="shared" si="26"/>
        <v>0.726</v>
      </c>
      <c r="N17" s="235">
        <f t="shared" si="20"/>
        <v>40</v>
      </c>
      <c r="O17" s="235">
        <f t="shared" si="15"/>
        <v>120</v>
      </c>
      <c r="P17" s="235">
        <f t="shared" si="21"/>
        <v>2</v>
      </c>
      <c r="Q17" s="235">
        <f t="shared" si="3"/>
        <v>138</v>
      </c>
      <c r="R17" s="236">
        <f t="shared" si="4"/>
        <v>0.75</v>
      </c>
      <c r="S17" s="235">
        <f t="shared" si="16"/>
        <v>0</v>
      </c>
      <c r="T17" s="235">
        <f t="shared" si="5"/>
        <v>28489</v>
      </c>
      <c r="U17" s="235">
        <f t="shared" si="6"/>
        <v>0</v>
      </c>
      <c r="V17" s="236">
        <f t="shared" si="7"/>
        <v>0.75</v>
      </c>
      <c r="W17" s="235">
        <f t="shared" si="17"/>
        <v>38.59</v>
      </c>
      <c r="X17" s="235">
        <f t="shared" si="22"/>
        <v>28489</v>
      </c>
      <c r="Y17" s="235">
        <f t="shared" si="8"/>
        <v>989.45</v>
      </c>
      <c r="Z17" s="254">
        <f t="shared" si="9"/>
        <v>1190.9</v>
      </c>
      <c r="AA17" s="221">
        <v>209.75</v>
      </c>
      <c r="AB17" s="255"/>
      <c r="AC17" s="232">
        <v>14</v>
      </c>
      <c r="AD17" s="235"/>
      <c r="AE17" s="253">
        <f t="shared" si="10"/>
        <v>59.545</v>
      </c>
      <c r="AF17" s="253">
        <f>AF12*(1+项目技术经济指标!$M$10)</f>
        <v>119.79</v>
      </c>
      <c r="AG17" s="253">
        <f t="shared" si="27"/>
        <v>38.686725</v>
      </c>
      <c r="AH17" s="253">
        <f t="shared" si="23"/>
        <v>0</v>
      </c>
      <c r="AI17" s="253">
        <f t="shared" si="11"/>
        <v>23.82</v>
      </c>
      <c r="AJ17" s="265">
        <f>税费计算!O18</f>
        <v>118.73</v>
      </c>
      <c r="AK17" s="253">
        <f t="shared" si="12"/>
        <v>360.57</v>
      </c>
      <c r="AL17" s="266">
        <f t="shared" si="13"/>
        <v>241.841725</v>
      </c>
      <c r="AM17" s="153">
        <f>SUM(AN10:AN15)+AM22</f>
        <v>558.224878875606</v>
      </c>
    </row>
    <row r="18" spans="1:38">
      <c r="A18" s="237"/>
      <c r="B18" s="232">
        <v>15</v>
      </c>
      <c r="C18" s="236">
        <f t="shared" si="28"/>
        <v>0.75</v>
      </c>
      <c r="D18" s="235">
        <f t="shared" si="31"/>
        <v>937.13</v>
      </c>
      <c r="E18" s="235">
        <f t="shared" si="24"/>
        <v>0</v>
      </c>
      <c r="F18" s="235">
        <f t="shared" si="18"/>
        <v>113.76</v>
      </c>
      <c r="G18" s="235">
        <f t="shared" si="1"/>
        <v>8</v>
      </c>
      <c r="H18" s="236">
        <f t="shared" si="29"/>
        <v>0.65</v>
      </c>
      <c r="I18" s="235">
        <f>I17</f>
        <v>8.82</v>
      </c>
      <c r="J18" s="235">
        <f t="shared" si="19"/>
        <v>265</v>
      </c>
      <c r="K18" s="235">
        <f t="shared" si="2"/>
        <v>55.45</v>
      </c>
      <c r="L18" s="236">
        <f t="shared" si="30"/>
        <v>0.6</v>
      </c>
      <c r="M18" s="235">
        <f t="shared" si="26"/>
        <v>0.726</v>
      </c>
      <c r="N18" s="235">
        <f t="shared" si="20"/>
        <v>40</v>
      </c>
      <c r="O18" s="235">
        <f t="shared" si="15"/>
        <v>120</v>
      </c>
      <c r="P18" s="235">
        <f t="shared" si="21"/>
        <v>2</v>
      </c>
      <c r="Q18" s="235">
        <f t="shared" si="3"/>
        <v>138</v>
      </c>
      <c r="R18" s="236">
        <f t="shared" si="4"/>
        <v>0.75</v>
      </c>
      <c r="S18" s="235">
        <f t="shared" si="16"/>
        <v>0</v>
      </c>
      <c r="T18" s="235">
        <f t="shared" si="5"/>
        <v>28489</v>
      </c>
      <c r="U18" s="235">
        <f t="shared" si="6"/>
        <v>0</v>
      </c>
      <c r="V18" s="236">
        <f t="shared" si="7"/>
        <v>0.75</v>
      </c>
      <c r="W18" s="235">
        <f t="shared" si="17"/>
        <v>38.59</v>
      </c>
      <c r="X18" s="235">
        <f t="shared" si="22"/>
        <v>28489</v>
      </c>
      <c r="Y18" s="235">
        <f t="shared" si="8"/>
        <v>989.45</v>
      </c>
      <c r="Z18" s="254">
        <f t="shared" si="9"/>
        <v>1190.9</v>
      </c>
      <c r="AA18" s="221">
        <v>209.75</v>
      </c>
      <c r="AB18" s="255"/>
      <c r="AC18" s="232">
        <v>15</v>
      </c>
      <c r="AD18" s="235"/>
      <c r="AE18" s="253">
        <f t="shared" si="10"/>
        <v>59.545</v>
      </c>
      <c r="AF18" s="253">
        <f>AF13*(1+项目技术经济指标!$M$10)</f>
        <v>119.79</v>
      </c>
      <c r="AG18" s="253">
        <f t="shared" si="27"/>
        <v>38.686725</v>
      </c>
      <c r="AH18" s="253">
        <f t="shared" si="23"/>
        <v>0</v>
      </c>
      <c r="AI18" s="253">
        <f t="shared" si="11"/>
        <v>23.82</v>
      </c>
      <c r="AJ18" s="265">
        <f>税费计算!O19</f>
        <v>118.73</v>
      </c>
      <c r="AK18" s="253">
        <f t="shared" si="12"/>
        <v>360.57</v>
      </c>
      <c r="AL18" s="266">
        <f t="shared" si="13"/>
        <v>241.841725</v>
      </c>
    </row>
    <row r="19" spans="1:38">
      <c r="A19" s="237"/>
      <c r="B19" s="232">
        <v>16</v>
      </c>
      <c r="C19" s="236">
        <f t="shared" si="28"/>
        <v>0.75</v>
      </c>
      <c r="D19" s="235">
        <f t="shared" si="31"/>
        <v>937.13</v>
      </c>
      <c r="E19" s="235">
        <f t="shared" si="24"/>
        <v>0</v>
      </c>
      <c r="F19" s="235">
        <f t="shared" si="18"/>
        <v>113.76</v>
      </c>
      <c r="G19" s="235">
        <f t="shared" si="1"/>
        <v>8</v>
      </c>
      <c r="H19" s="236">
        <f t="shared" si="29"/>
        <v>0.65</v>
      </c>
      <c r="I19" s="235">
        <f>I18</f>
        <v>8.82</v>
      </c>
      <c r="J19" s="235">
        <f t="shared" si="19"/>
        <v>265</v>
      </c>
      <c r="K19" s="235">
        <f t="shared" si="2"/>
        <v>55.45</v>
      </c>
      <c r="L19" s="236">
        <f t="shared" si="30"/>
        <v>0.6</v>
      </c>
      <c r="M19" s="235">
        <f t="shared" si="26"/>
        <v>0.726</v>
      </c>
      <c r="N19" s="235">
        <f t="shared" si="20"/>
        <v>40</v>
      </c>
      <c r="O19" s="235">
        <f t="shared" si="15"/>
        <v>120</v>
      </c>
      <c r="P19" s="235">
        <f t="shared" si="21"/>
        <v>2</v>
      </c>
      <c r="Q19" s="235">
        <f t="shared" si="3"/>
        <v>138</v>
      </c>
      <c r="R19" s="236">
        <f t="shared" si="4"/>
        <v>0.75</v>
      </c>
      <c r="S19" s="235">
        <f t="shared" si="16"/>
        <v>0</v>
      </c>
      <c r="T19" s="235">
        <f t="shared" si="5"/>
        <v>28489</v>
      </c>
      <c r="U19" s="235">
        <f t="shared" si="6"/>
        <v>0</v>
      </c>
      <c r="V19" s="236">
        <f t="shared" si="7"/>
        <v>0.75</v>
      </c>
      <c r="W19" s="235">
        <f t="shared" si="17"/>
        <v>38.59</v>
      </c>
      <c r="X19" s="235">
        <f t="shared" si="22"/>
        <v>28489</v>
      </c>
      <c r="Y19" s="235">
        <f t="shared" si="8"/>
        <v>989.45</v>
      </c>
      <c r="Z19" s="254">
        <f t="shared" si="9"/>
        <v>1190.9</v>
      </c>
      <c r="AA19" s="221">
        <v>209.75</v>
      </c>
      <c r="AB19" s="255"/>
      <c r="AC19" s="232">
        <v>16</v>
      </c>
      <c r="AD19" s="235"/>
      <c r="AE19" s="253">
        <f t="shared" si="10"/>
        <v>59.545</v>
      </c>
      <c r="AF19" s="253">
        <f>AF14*(1+项目技术经济指标!$M$10)</f>
        <v>119.79</v>
      </c>
      <c r="AG19" s="253">
        <f t="shared" si="27"/>
        <v>38.686725</v>
      </c>
      <c r="AH19" s="253">
        <f t="shared" si="23"/>
        <v>0</v>
      </c>
      <c r="AI19" s="253">
        <f t="shared" si="11"/>
        <v>23.82</v>
      </c>
      <c r="AJ19" s="265">
        <f>税费计算!O20</f>
        <v>118.73</v>
      </c>
      <c r="AK19" s="253">
        <f t="shared" si="12"/>
        <v>360.57</v>
      </c>
      <c r="AL19" s="266">
        <f t="shared" si="13"/>
        <v>241.841725</v>
      </c>
    </row>
    <row r="20" spans="1:40">
      <c r="A20" s="237"/>
      <c r="B20" s="232">
        <v>17</v>
      </c>
      <c r="C20" s="236">
        <f t="shared" si="28"/>
        <v>0.75</v>
      </c>
      <c r="D20" s="235">
        <f t="shared" si="31"/>
        <v>983.99</v>
      </c>
      <c r="E20" s="235">
        <f t="shared" si="24"/>
        <v>0</v>
      </c>
      <c r="F20" s="235">
        <f t="shared" si="18"/>
        <v>113.76</v>
      </c>
      <c r="G20" s="235">
        <f t="shared" si="1"/>
        <v>8.4</v>
      </c>
      <c r="H20" s="236">
        <f t="shared" si="29"/>
        <v>0.65</v>
      </c>
      <c r="I20" s="235">
        <f>ROUND(I19*1.05,2)</f>
        <v>9.26</v>
      </c>
      <c r="J20" s="235">
        <f t="shared" si="19"/>
        <v>265</v>
      </c>
      <c r="K20" s="235">
        <f t="shared" si="2"/>
        <v>58.22</v>
      </c>
      <c r="L20" s="236">
        <f t="shared" si="30"/>
        <v>0.6</v>
      </c>
      <c r="M20" s="235">
        <f t="shared" si="26"/>
        <v>0.7986</v>
      </c>
      <c r="N20" s="235">
        <f t="shared" si="20"/>
        <v>40</v>
      </c>
      <c r="O20" s="235">
        <f t="shared" si="15"/>
        <v>120</v>
      </c>
      <c r="P20" s="235">
        <f t="shared" si="21"/>
        <v>2</v>
      </c>
      <c r="Q20" s="235">
        <f t="shared" si="3"/>
        <v>151.8</v>
      </c>
      <c r="R20" s="236">
        <f t="shared" si="4"/>
        <v>0.75</v>
      </c>
      <c r="S20" s="235">
        <f>S19*1.05</f>
        <v>0</v>
      </c>
      <c r="T20" s="235">
        <f t="shared" si="5"/>
        <v>28489</v>
      </c>
      <c r="U20" s="235">
        <f t="shared" si="6"/>
        <v>0</v>
      </c>
      <c r="V20" s="236">
        <f t="shared" si="7"/>
        <v>0.75</v>
      </c>
      <c r="W20" s="235">
        <f>ROUND(W19*1.05,2)</f>
        <v>40.52</v>
      </c>
      <c r="X20" s="235">
        <f t="shared" si="22"/>
        <v>28489</v>
      </c>
      <c r="Y20" s="235">
        <f t="shared" ref="Y20:Y35" si="32">ROUND(X20*W20*V20*12/10000,2)</f>
        <v>1038.94</v>
      </c>
      <c r="Z20" s="254">
        <f t="shared" si="9"/>
        <v>1257.36</v>
      </c>
      <c r="AA20" s="221">
        <v>230.9</v>
      </c>
      <c r="AB20" s="255"/>
      <c r="AC20" s="232">
        <v>17</v>
      </c>
      <c r="AD20" s="235"/>
      <c r="AE20" s="253">
        <f t="shared" si="10"/>
        <v>62.868</v>
      </c>
      <c r="AF20" s="253">
        <f>AF15*(1+项目技术经济指标!$M$10)</f>
        <v>131.769</v>
      </c>
      <c r="AG20" s="253">
        <f t="shared" si="27"/>
        <v>40.62106125</v>
      </c>
      <c r="AH20" s="253">
        <f t="shared" si="23"/>
        <v>0</v>
      </c>
      <c r="AI20" s="253">
        <f t="shared" si="11"/>
        <v>25.15</v>
      </c>
      <c r="AJ20" s="265">
        <f>税费计算!O21</f>
        <v>158.057889908256</v>
      </c>
      <c r="AK20" s="253">
        <f t="shared" si="12"/>
        <v>418.47</v>
      </c>
      <c r="AL20" s="266">
        <f t="shared" si="13"/>
        <v>260.40806125</v>
      </c>
      <c r="AN20" s="153">
        <v>4700</v>
      </c>
    </row>
    <row r="21" spans="1:38">
      <c r="A21" s="237"/>
      <c r="B21" s="232">
        <v>18</v>
      </c>
      <c r="C21" s="236">
        <f t="shared" si="28"/>
        <v>0.75</v>
      </c>
      <c r="D21" s="235">
        <f t="shared" si="31"/>
        <v>983.99</v>
      </c>
      <c r="E21" s="235">
        <f t="shared" si="24"/>
        <v>0</v>
      </c>
      <c r="F21" s="235">
        <f t="shared" si="18"/>
        <v>113.76</v>
      </c>
      <c r="G21" s="235">
        <f t="shared" si="1"/>
        <v>8.4</v>
      </c>
      <c r="H21" s="236">
        <f t="shared" si="29"/>
        <v>0.65</v>
      </c>
      <c r="I21" s="235">
        <f>I20</f>
        <v>9.26</v>
      </c>
      <c r="J21" s="235">
        <f t="shared" si="19"/>
        <v>265</v>
      </c>
      <c r="K21" s="235">
        <f t="shared" si="2"/>
        <v>58.22</v>
      </c>
      <c r="L21" s="236">
        <f t="shared" si="30"/>
        <v>0.6</v>
      </c>
      <c r="M21" s="235">
        <f t="shared" si="26"/>
        <v>0.7986</v>
      </c>
      <c r="N21" s="235">
        <f t="shared" si="20"/>
        <v>40</v>
      </c>
      <c r="O21" s="235">
        <f t="shared" si="15"/>
        <v>120</v>
      </c>
      <c r="P21" s="235">
        <f t="shared" si="21"/>
        <v>2</v>
      </c>
      <c r="Q21" s="235">
        <f t="shared" si="3"/>
        <v>151.8</v>
      </c>
      <c r="R21" s="236">
        <f t="shared" si="4"/>
        <v>0.75</v>
      </c>
      <c r="S21" s="235">
        <f t="shared" si="16"/>
        <v>0</v>
      </c>
      <c r="T21" s="235">
        <f t="shared" si="5"/>
        <v>28489</v>
      </c>
      <c r="U21" s="235">
        <f t="shared" si="6"/>
        <v>0</v>
      </c>
      <c r="V21" s="236">
        <f t="shared" si="7"/>
        <v>0.75</v>
      </c>
      <c r="W21" s="235">
        <f t="shared" si="17"/>
        <v>40.52</v>
      </c>
      <c r="X21" s="235">
        <f t="shared" si="22"/>
        <v>28489</v>
      </c>
      <c r="Y21" s="235">
        <f t="shared" si="32"/>
        <v>1038.94</v>
      </c>
      <c r="Z21" s="254">
        <f t="shared" si="9"/>
        <v>1257.36</v>
      </c>
      <c r="AA21" s="221">
        <v>230.9</v>
      </c>
      <c r="AB21" s="255"/>
      <c r="AC21" s="232">
        <v>18</v>
      </c>
      <c r="AD21" s="235"/>
      <c r="AE21" s="253">
        <f t="shared" si="10"/>
        <v>62.868</v>
      </c>
      <c r="AF21" s="253">
        <f>AF16*(1+项目技术经济指标!$M$10)</f>
        <v>131.769</v>
      </c>
      <c r="AG21" s="253">
        <f t="shared" si="27"/>
        <v>40.62106125</v>
      </c>
      <c r="AH21" s="253">
        <f t="shared" si="23"/>
        <v>0</v>
      </c>
      <c r="AI21" s="253">
        <f t="shared" si="11"/>
        <v>25.15</v>
      </c>
      <c r="AJ21" s="265">
        <f>税费计算!O22</f>
        <v>243.52119266055</v>
      </c>
      <c r="AK21" s="253">
        <f t="shared" si="12"/>
        <v>503.93</v>
      </c>
      <c r="AL21" s="266">
        <f t="shared" si="13"/>
        <v>260.40806125</v>
      </c>
    </row>
    <row r="22" spans="1:39">
      <c r="A22" s="237"/>
      <c r="B22" s="232">
        <v>19</v>
      </c>
      <c r="C22" s="236">
        <f t="shared" si="28"/>
        <v>0.75</v>
      </c>
      <c r="D22" s="235">
        <f t="shared" si="31"/>
        <v>983.99</v>
      </c>
      <c r="E22" s="235">
        <f t="shared" si="24"/>
        <v>0</v>
      </c>
      <c r="F22" s="235">
        <f t="shared" si="18"/>
        <v>113.76</v>
      </c>
      <c r="G22" s="235">
        <f t="shared" si="1"/>
        <v>8.4</v>
      </c>
      <c r="H22" s="236">
        <f t="shared" si="29"/>
        <v>0.65</v>
      </c>
      <c r="I22" s="235">
        <f>I21</f>
        <v>9.26</v>
      </c>
      <c r="J22" s="235">
        <f t="shared" si="19"/>
        <v>265</v>
      </c>
      <c r="K22" s="235">
        <f t="shared" si="2"/>
        <v>58.22</v>
      </c>
      <c r="L22" s="236">
        <f t="shared" si="30"/>
        <v>0.6</v>
      </c>
      <c r="M22" s="235">
        <f t="shared" si="26"/>
        <v>0.7986</v>
      </c>
      <c r="N22" s="235">
        <f t="shared" si="20"/>
        <v>40</v>
      </c>
      <c r="O22" s="235">
        <f t="shared" si="15"/>
        <v>120</v>
      </c>
      <c r="P22" s="235">
        <f t="shared" si="21"/>
        <v>2</v>
      </c>
      <c r="Q22" s="235">
        <f t="shared" si="3"/>
        <v>151.8</v>
      </c>
      <c r="R22" s="236">
        <f t="shared" si="4"/>
        <v>0.75</v>
      </c>
      <c r="S22" s="235">
        <f t="shared" si="16"/>
        <v>0</v>
      </c>
      <c r="T22" s="235">
        <f t="shared" si="5"/>
        <v>28489</v>
      </c>
      <c r="U22" s="235">
        <f t="shared" si="6"/>
        <v>0</v>
      </c>
      <c r="V22" s="236">
        <f t="shared" si="7"/>
        <v>0.75</v>
      </c>
      <c r="W22" s="235">
        <f t="shared" si="17"/>
        <v>40.52</v>
      </c>
      <c r="X22" s="235">
        <f t="shared" si="22"/>
        <v>28489</v>
      </c>
      <c r="Y22" s="235">
        <f t="shared" si="32"/>
        <v>1038.94</v>
      </c>
      <c r="Z22" s="254">
        <f t="shared" si="9"/>
        <v>1257.36</v>
      </c>
      <c r="AA22" s="221">
        <v>230.9</v>
      </c>
      <c r="AB22" s="255"/>
      <c r="AC22" s="232">
        <v>19</v>
      </c>
      <c r="AD22" s="235"/>
      <c r="AE22" s="253">
        <f t="shared" si="10"/>
        <v>62.868</v>
      </c>
      <c r="AF22" s="253">
        <f>AF17*(1+项目技术经济指标!$M$10)</f>
        <v>131.769</v>
      </c>
      <c r="AG22" s="253">
        <f t="shared" si="27"/>
        <v>40.62106125</v>
      </c>
      <c r="AH22" s="253">
        <f t="shared" si="23"/>
        <v>0</v>
      </c>
      <c r="AI22" s="253">
        <f t="shared" si="11"/>
        <v>25.15</v>
      </c>
      <c r="AJ22" s="265">
        <f>税费计算!O23</f>
        <v>243.52119266055</v>
      </c>
      <c r="AK22" s="253">
        <f t="shared" si="12"/>
        <v>503.93</v>
      </c>
      <c r="AL22" s="266">
        <f t="shared" si="13"/>
        <v>260.40806125</v>
      </c>
      <c r="AM22" s="153">
        <f>16150/666.67</f>
        <v>24.2248788756056</v>
      </c>
    </row>
    <row r="23" spans="1:38">
      <c r="A23" s="237"/>
      <c r="B23" s="232">
        <v>20</v>
      </c>
      <c r="C23" s="236">
        <f t="shared" si="28"/>
        <v>0.75</v>
      </c>
      <c r="D23" s="235">
        <f t="shared" si="31"/>
        <v>983.99</v>
      </c>
      <c r="E23" s="235">
        <f t="shared" si="24"/>
        <v>0</v>
      </c>
      <c r="F23" s="235">
        <f t="shared" si="18"/>
        <v>113.76</v>
      </c>
      <c r="G23" s="235">
        <f t="shared" si="1"/>
        <v>8.4</v>
      </c>
      <c r="H23" s="236">
        <f t="shared" si="29"/>
        <v>0.65</v>
      </c>
      <c r="I23" s="235">
        <f>I22</f>
        <v>9.26</v>
      </c>
      <c r="J23" s="235">
        <f t="shared" si="19"/>
        <v>265</v>
      </c>
      <c r="K23" s="235">
        <f t="shared" si="2"/>
        <v>58.22</v>
      </c>
      <c r="L23" s="236">
        <f t="shared" si="30"/>
        <v>0.6</v>
      </c>
      <c r="M23" s="235">
        <f t="shared" si="26"/>
        <v>0.7986</v>
      </c>
      <c r="N23" s="235">
        <f t="shared" si="20"/>
        <v>40</v>
      </c>
      <c r="O23" s="235">
        <f t="shared" si="15"/>
        <v>120</v>
      </c>
      <c r="P23" s="235">
        <f t="shared" si="21"/>
        <v>2</v>
      </c>
      <c r="Q23" s="235">
        <f t="shared" si="3"/>
        <v>151.8</v>
      </c>
      <c r="R23" s="236">
        <f t="shared" si="4"/>
        <v>0.75</v>
      </c>
      <c r="S23" s="235">
        <f t="shared" si="16"/>
        <v>0</v>
      </c>
      <c r="T23" s="235">
        <f t="shared" si="5"/>
        <v>28489</v>
      </c>
      <c r="U23" s="235">
        <f t="shared" si="6"/>
        <v>0</v>
      </c>
      <c r="V23" s="236">
        <f t="shared" si="7"/>
        <v>0.75</v>
      </c>
      <c r="W23" s="235">
        <f t="shared" si="17"/>
        <v>40.52</v>
      </c>
      <c r="X23" s="235">
        <f t="shared" si="22"/>
        <v>28489</v>
      </c>
      <c r="Y23" s="235">
        <f t="shared" si="32"/>
        <v>1038.94</v>
      </c>
      <c r="Z23" s="254">
        <f t="shared" si="9"/>
        <v>1257.36</v>
      </c>
      <c r="AA23" s="221">
        <v>230.9</v>
      </c>
      <c r="AB23" s="255"/>
      <c r="AC23" s="232">
        <v>20</v>
      </c>
      <c r="AD23" s="235"/>
      <c r="AE23" s="253">
        <f t="shared" si="10"/>
        <v>62.868</v>
      </c>
      <c r="AF23" s="253">
        <f>AF18*(1+项目技术经济指标!$M$10)</f>
        <v>131.769</v>
      </c>
      <c r="AG23" s="253">
        <f t="shared" si="27"/>
        <v>40.62106125</v>
      </c>
      <c r="AH23" s="253">
        <f t="shared" si="23"/>
        <v>0</v>
      </c>
      <c r="AI23" s="253">
        <f t="shared" si="11"/>
        <v>25.15</v>
      </c>
      <c r="AJ23" s="265">
        <f>税费计算!O24</f>
        <v>243.52119266055</v>
      </c>
      <c r="AK23" s="253">
        <f t="shared" si="12"/>
        <v>503.93</v>
      </c>
      <c r="AL23" s="266">
        <f t="shared" si="13"/>
        <v>260.40806125</v>
      </c>
    </row>
    <row r="24" spans="1:40">
      <c r="A24" s="237"/>
      <c r="B24" s="232">
        <v>21</v>
      </c>
      <c r="C24" s="236">
        <f t="shared" si="28"/>
        <v>0.75</v>
      </c>
      <c r="D24" s="235">
        <f t="shared" si="31"/>
        <v>983.99</v>
      </c>
      <c r="E24" s="235">
        <f t="shared" si="24"/>
        <v>0</v>
      </c>
      <c r="F24" s="235">
        <f t="shared" si="18"/>
        <v>113.76</v>
      </c>
      <c r="G24" s="235">
        <f t="shared" si="1"/>
        <v>8.4</v>
      </c>
      <c r="H24" s="236">
        <f t="shared" si="29"/>
        <v>0.65</v>
      </c>
      <c r="I24" s="235">
        <f>I23</f>
        <v>9.26</v>
      </c>
      <c r="J24" s="235">
        <f t="shared" si="19"/>
        <v>265</v>
      </c>
      <c r="K24" s="235">
        <f t="shared" si="2"/>
        <v>58.22</v>
      </c>
      <c r="L24" s="236">
        <f t="shared" si="30"/>
        <v>0.6</v>
      </c>
      <c r="M24" s="235">
        <f t="shared" si="26"/>
        <v>0.7986</v>
      </c>
      <c r="N24" s="235">
        <f t="shared" si="20"/>
        <v>40</v>
      </c>
      <c r="O24" s="235">
        <f t="shared" si="15"/>
        <v>120</v>
      </c>
      <c r="P24" s="235">
        <f t="shared" si="21"/>
        <v>2</v>
      </c>
      <c r="Q24" s="235">
        <f t="shared" si="3"/>
        <v>151.8</v>
      </c>
      <c r="R24" s="236">
        <f t="shared" si="4"/>
        <v>0.75</v>
      </c>
      <c r="S24" s="235">
        <f t="shared" si="16"/>
        <v>0</v>
      </c>
      <c r="T24" s="235">
        <f t="shared" si="5"/>
        <v>28489</v>
      </c>
      <c r="U24" s="235">
        <f t="shared" si="6"/>
        <v>0</v>
      </c>
      <c r="V24" s="236">
        <f t="shared" si="7"/>
        <v>0.75</v>
      </c>
      <c r="W24" s="235">
        <f t="shared" si="17"/>
        <v>40.52</v>
      </c>
      <c r="X24" s="235">
        <f t="shared" si="22"/>
        <v>28489</v>
      </c>
      <c r="Y24" s="235">
        <f t="shared" si="32"/>
        <v>1038.94</v>
      </c>
      <c r="Z24" s="254">
        <f t="shared" si="9"/>
        <v>1257.36</v>
      </c>
      <c r="AA24" s="221">
        <v>230.9</v>
      </c>
      <c r="AB24" s="255"/>
      <c r="AC24" s="232">
        <v>21</v>
      </c>
      <c r="AD24" s="235"/>
      <c r="AE24" s="253">
        <f t="shared" si="10"/>
        <v>62.868</v>
      </c>
      <c r="AF24" s="253">
        <f>AF19*(1+项目技术经济指标!$M$10)</f>
        <v>131.769</v>
      </c>
      <c r="AG24" s="253">
        <f t="shared" si="27"/>
        <v>40.62106125</v>
      </c>
      <c r="AH24" s="253">
        <f t="shared" si="23"/>
        <v>0</v>
      </c>
      <c r="AI24" s="253">
        <f t="shared" si="11"/>
        <v>25.15</v>
      </c>
      <c r="AJ24" s="265">
        <f>税费计算!O25</f>
        <v>243.52119266055</v>
      </c>
      <c r="AK24" s="253">
        <f t="shared" si="12"/>
        <v>503.93</v>
      </c>
      <c r="AL24" s="266">
        <f t="shared" si="13"/>
        <v>260.40806125</v>
      </c>
      <c r="AN24" s="153">
        <v>1500</v>
      </c>
    </row>
    <row r="25" spans="1:40">
      <c r="A25" s="237"/>
      <c r="B25" s="232">
        <v>22</v>
      </c>
      <c r="C25" s="236">
        <f t="shared" si="28"/>
        <v>0.75</v>
      </c>
      <c r="D25" s="235">
        <f t="shared" si="31"/>
        <v>1033.19</v>
      </c>
      <c r="E25" s="235">
        <f t="shared" si="24"/>
        <v>0</v>
      </c>
      <c r="F25" s="235">
        <f t="shared" si="18"/>
        <v>113.76</v>
      </c>
      <c r="G25" s="235">
        <f t="shared" si="1"/>
        <v>8.82</v>
      </c>
      <c r="H25" s="236">
        <f t="shared" si="29"/>
        <v>0.65</v>
      </c>
      <c r="I25" s="235">
        <f>ROUND(I24*1.05,2)</f>
        <v>9.72</v>
      </c>
      <c r="J25" s="235">
        <f t="shared" si="19"/>
        <v>265</v>
      </c>
      <c r="K25" s="235">
        <f t="shared" si="2"/>
        <v>61.11</v>
      </c>
      <c r="L25" s="236">
        <f t="shared" si="30"/>
        <v>0.6</v>
      </c>
      <c r="M25" s="235">
        <f t="shared" si="26"/>
        <v>0.87846</v>
      </c>
      <c r="N25" s="235">
        <f t="shared" si="20"/>
        <v>40</v>
      </c>
      <c r="O25" s="235">
        <f t="shared" si="15"/>
        <v>120</v>
      </c>
      <c r="P25" s="235">
        <f t="shared" si="21"/>
        <v>2</v>
      </c>
      <c r="Q25" s="235">
        <f t="shared" si="3"/>
        <v>166.98</v>
      </c>
      <c r="R25" s="236">
        <f t="shared" si="4"/>
        <v>0.75</v>
      </c>
      <c r="S25" s="235">
        <f>S24*1.05</f>
        <v>0</v>
      </c>
      <c r="T25" s="235">
        <f t="shared" si="5"/>
        <v>28489</v>
      </c>
      <c r="U25" s="235">
        <f t="shared" si="6"/>
        <v>0</v>
      </c>
      <c r="V25" s="236">
        <f t="shared" si="7"/>
        <v>0.75</v>
      </c>
      <c r="W25" s="235">
        <f>ROUND(W24*1.05,2)</f>
        <v>42.55</v>
      </c>
      <c r="X25" s="235">
        <f t="shared" si="22"/>
        <v>28489</v>
      </c>
      <c r="Y25" s="235">
        <f t="shared" si="32"/>
        <v>1090.99</v>
      </c>
      <c r="Z25" s="254">
        <f t="shared" si="9"/>
        <v>1327.9</v>
      </c>
      <c r="AA25" s="221">
        <v>254.13</v>
      </c>
      <c r="AB25" s="255"/>
      <c r="AC25" s="232">
        <v>22</v>
      </c>
      <c r="AD25" s="235"/>
      <c r="AE25" s="253">
        <f t="shared" si="10"/>
        <v>66.395</v>
      </c>
      <c r="AF25" s="253">
        <f>AF20*(1+项目技术经济指标!$M$10)</f>
        <v>144.9459</v>
      </c>
      <c r="AG25" s="253">
        <f t="shared" si="27"/>
        <v>42.6521143125</v>
      </c>
      <c r="AH25" s="253">
        <f t="shared" si="23"/>
        <v>0</v>
      </c>
      <c r="AI25" s="253">
        <f t="shared" si="11"/>
        <v>26.56</v>
      </c>
      <c r="AJ25" s="265">
        <f>税费计算!O26</f>
        <v>256.69752293578</v>
      </c>
      <c r="AK25" s="253">
        <f t="shared" si="12"/>
        <v>537.25</v>
      </c>
      <c r="AL25" s="266">
        <f t="shared" si="13"/>
        <v>280.5530143125</v>
      </c>
      <c r="AN25" s="153">
        <v>2000</v>
      </c>
    </row>
    <row r="26" spans="1:40">
      <c r="A26" s="237"/>
      <c r="B26" s="232">
        <v>23</v>
      </c>
      <c r="C26" s="236">
        <f t="shared" si="28"/>
        <v>0.75</v>
      </c>
      <c r="D26" s="235">
        <f t="shared" si="31"/>
        <v>1033.19</v>
      </c>
      <c r="E26" s="235">
        <f t="shared" si="24"/>
        <v>0</v>
      </c>
      <c r="F26" s="235">
        <f t="shared" si="18"/>
        <v>113.76</v>
      </c>
      <c r="G26" s="235">
        <f t="shared" si="1"/>
        <v>8.82</v>
      </c>
      <c r="H26" s="236">
        <f t="shared" si="29"/>
        <v>0.65</v>
      </c>
      <c r="I26" s="235">
        <f>I25</f>
        <v>9.72</v>
      </c>
      <c r="J26" s="235">
        <f t="shared" si="19"/>
        <v>265</v>
      </c>
      <c r="K26" s="235">
        <f t="shared" si="2"/>
        <v>61.11</v>
      </c>
      <c r="L26" s="236">
        <f t="shared" si="30"/>
        <v>0.6</v>
      </c>
      <c r="M26" s="235">
        <f t="shared" si="26"/>
        <v>0.87846</v>
      </c>
      <c r="N26" s="235">
        <f t="shared" si="20"/>
        <v>40</v>
      </c>
      <c r="O26" s="235">
        <f t="shared" si="15"/>
        <v>120</v>
      </c>
      <c r="P26" s="235">
        <f t="shared" si="21"/>
        <v>2</v>
      </c>
      <c r="Q26" s="235">
        <f t="shared" si="3"/>
        <v>166.98</v>
      </c>
      <c r="R26" s="236">
        <f t="shared" si="4"/>
        <v>0.75</v>
      </c>
      <c r="S26" s="235">
        <f t="shared" si="16"/>
        <v>0</v>
      </c>
      <c r="T26" s="235">
        <f t="shared" si="5"/>
        <v>28489</v>
      </c>
      <c r="U26" s="235">
        <f t="shared" si="6"/>
        <v>0</v>
      </c>
      <c r="V26" s="236">
        <f t="shared" si="7"/>
        <v>0.75</v>
      </c>
      <c r="W26" s="235">
        <f t="shared" si="17"/>
        <v>42.55</v>
      </c>
      <c r="X26" s="235">
        <f t="shared" si="22"/>
        <v>28489</v>
      </c>
      <c r="Y26" s="235">
        <f t="shared" si="32"/>
        <v>1090.99</v>
      </c>
      <c r="Z26" s="254">
        <f t="shared" si="9"/>
        <v>1327.9</v>
      </c>
      <c r="AA26" s="221">
        <v>254.13</v>
      </c>
      <c r="AB26" s="255"/>
      <c r="AC26" s="232">
        <v>23</v>
      </c>
      <c r="AD26" s="235"/>
      <c r="AE26" s="253">
        <f t="shared" si="10"/>
        <v>66.395</v>
      </c>
      <c r="AF26" s="253">
        <f>AF21*(1+项目技术经济指标!$M$10)</f>
        <v>144.9459</v>
      </c>
      <c r="AG26" s="253">
        <f t="shared" si="27"/>
        <v>42.6521143125</v>
      </c>
      <c r="AH26" s="253">
        <f t="shared" si="23"/>
        <v>0</v>
      </c>
      <c r="AI26" s="253">
        <f t="shared" si="11"/>
        <v>26.56</v>
      </c>
      <c r="AJ26" s="265">
        <f>税费计算!O27</f>
        <v>256.69752293578</v>
      </c>
      <c r="AK26" s="253">
        <f t="shared" si="12"/>
        <v>537.25</v>
      </c>
      <c r="AL26" s="266">
        <f t="shared" si="13"/>
        <v>280.5530143125</v>
      </c>
      <c r="AN26" s="153">
        <v>600</v>
      </c>
    </row>
    <row r="27" spans="1:40">
      <c r="A27" s="237"/>
      <c r="B27" s="232">
        <v>24</v>
      </c>
      <c r="C27" s="236">
        <f t="shared" si="28"/>
        <v>0.75</v>
      </c>
      <c r="D27" s="235">
        <f t="shared" si="31"/>
        <v>1033.19</v>
      </c>
      <c r="E27" s="235">
        <f t="shared" si="24"/>
        <v>0</v>
      </c>
      <c r="F27" s="235">
        <f t="shared" si="18"/>
        <v>113.76</v>
      </c>
      <c r="G27" s="235">
        <f t="shared" si="1"/>
        <v>8.82</v>
      </c>
      <c r="H27" s="236">
        <f t="shared" si="29"/>
        <v>0.65</v>
      </c>
      <c r="I27" s="235">
        <f>I26</f>
        <v>9.72</v>
      </c>
      <c r="J27" s="235">
        <f t="shared" si="19"/>
        <v>265</v>
      </c>
      <c r="K27" s="235">
        <f t="shared" si="2"/>
        <v>61.11</v>
      </c>
      <c r="L27" s="236">
        <f t="shared" si="30"/>
        <v>0.6</v>
      </c>
      <c r="M27" s="235">
        <f t="shared" si="26"/>
        <v>0.87846</v>
      </c>
      <c r="N27" s="235">
        <f t="shared" si="20"/>
        <v>40</v>
      </c>
      <c r="O27" s="235">
        <f t="shared" si="15"/>
        <v>120</v>
      </c>
      <c r="P27" s="235">
        <f t="shared" si="21"/>
        <v>2</v>
      </c>
      <c r="Q27" s="235">
        <f t="shared" si="3"/>
        <v>166.98</v>
      </c>
      <c r="R27" s="236">
        <f t="shared" si="4"/>
        <v>0.75</v>
      </c>
      <c r="S27" s="235">
        <f t="shared" si="16"/>
        <v>0</v>
      </c>
      <c r="T27" s="235">
        <f t="shared" si="5"/>
        <v>28489</v>
      </c>
      <c r="U27" s="235">
        <f t="shared" si="6"/>
        <v>0</v>
      </c>
      <c r="V27" s="236">
        <f t="shared" si="7"/>
        <v>0.75</v>
      </c>
      <c r="W27" s="235">
        <f t="shared" si="17"/>
        <v>42.55</v>
      </c>
      <c r="X27" s="235">
        <f t="shared" si="22"/>
        <v>28489</v>
      </c>
      <c r="Y27" s="235">
        <f t="shared" si="32"/>
        <v>1090.99</v>
      </c>
      <c r="Z27" s="254">
        <f t="shared" si="9"/>
        <v>1327.9</v>
      </c>
      <c r="AA27" s="221">
        <v>254.13</v>
      </c>
      <c r="AB27" s="255"/>
      <c r="AC27" s="232">
        <v>24</v>
      </c>
      <c r="AD27" s="235"/>
      <c r="AE27" s="253">
        <f t="shared" si="10"/>
        <v>66.395</v>
      </c>
      <c r="AF27" s="253">
        <f>AF22*(1+项目技术经济指标!$M$10)</f>
        <v>144.9459</v>
      </c>
      <c r="AG27" s="253">
        <f t="shared" si="27"/>
        <v>42.6521143125</v>
      </c>
      <c r="AH27" s="253">
        <f t="shared" si="23"/>
        <v>0</v>
      </c>
      <c r="AI27" s="253">
        <f t="shared" si="11"/>
        <v>26.56</v>
      </c>
      <c r="AJ27" s="265">
        <f>税费计算!O28</f>
        <v>256.69752293578</v>
      </c>
      <c r="AK27" s="253">
        <f t="shared" si="12"/>
        <v>537.25</v>
      </c>
      <c r="AL27" s="266">
        <f t="shared" si="13"/>
        <v>280.5530143125</v>
      </c>
      <c r="AN27" s="153">
        <v>600</v>
      </c>
    </row>
    <row r="28" spans="1:40">
      <c r="A28" s="237"/>
      <c r="B28" s="232">
        <v>25</v>
      </c>
      <c r="C28" s="236">
        <f t="shared" si="28"/>
        <v>0.75</v>
      </c>
      <c r="D28" s="235">
        <f t="shared" si="31"/>
        <v>1033.19</v>
      </c>
      <c r="E28" s="235">
        <f t="shared" si="24"/>
        <v>0</v>
      </c>
      <c r="F28" s="235">
        <f t="shared" si="18"/>
        <v>113.76</v>
      </c>
      <c r="G28" s="235">
        <f t="shared" si="1"/>
        <v>8.82</v>
      </c>
      <c r="H28" s="236">
        <f t="shared" si="29"/>
        <v>0.65</v>
      </c>
      <c r="I28" s="235">
        <f>I27</f>
        <v>9.72</v>
      </c>
      <c r="J28" s="235">
        <f t="shared" si="19"/>
        <v>265</v>
      </c>
      <c r="K28" s="235">
        <f t="shared" si="2"/>
        <v>61.11</v>
      </c>
      <c r="L28" s="236">
        <f t="shared" si="30"/>
        <v>0.6</v>
      </c>
      <c r="M28" s="235">
        <f t="shared" si="26"/>
        <v>0.87846</v>
      </c>
      <c r="N28" s="235">
        <f t="shared" si="20"/>
        <v>40</v>
      </c>
      <c r="O28" s="235">
        <f t="shared" si="15"/>
        <v>120</v>
      </c>
      <c r="P28" s="235">
        <f t="shared" si="21"/>
        <v>2</v>
      </c>
      <c r="Q28" s="235">
        <f t="shared" si="3"/>
        <v>166.98</v>
      </c>
      <c r="R28" s="236">
        <f t="shared" si="4"/>
        <v>0.75</v>
      </c>
      <c r="S28" s="235">
        <f t="shared" si="16"/>
        <v>0</v>
      </c>
      <c r="T28" s="235">
        <f t="shared" si="5"/>
        <v>28489</v>
      </c>
      <c r="U28" s="235">
        <f t="shared" si="6"/>
        <v>0</v>
      </c>
      <c r="V28" s="236">
        <f t="shared" si="7"/>
        <v>0.75</v>
      </c>
      <c r="W28" s="235">
        <f t="shared" si="17"/>
        <v>42.55</v>
      </c>
      <c r="X28" s="235">
        <f t="shared" si="22"/>
        <v>28489</v>
      </c>
      <c r="Y28" s="235">
        <f t="shared" si="32"/>
        <v>1090.99</v>
      </c>
      <c r="Z28" s="254">
        <f t="shared" si="9"/>
        <v>1327.9</v>
      </c>
      <c r="AA28" s="221">
        <v>254.13</v>
      </c>
      <c r="AB28" s="255"/>
      <c r="AC28" s="232">
        <v>25</v>
      </c>
      <c r="AD28" s="235"/>
      <c r="AE28" s="253">
        <f t="shared" si="10"/>
        <v>66.395</v>
      </c>
      <c r="AF28" s="253">
        <f>AF23*(1+项目技术经济指标!$M$10)</f>
        <v>144.9459</v>
      </c>
      <c r="AG28" s="253">
        <f t="shared" si="27"/>
        <v>42.6521143125</v>
      </c>
      <c r="AH28" s="253">
        <f t="shared" si="23"/>
        <v>0</v>
      </c>
      <c r="AI28" s="253">
        <f t="shared" si="11"/>
        <v>26.56</v>
      </c>
      <c r="AJ28" s="265">
        <f>税费计算!O29</f>
        <v>256.69752293578</v>
      </c>
      <c r="AK28" s="253">
        <f t="shared" si="12"/>
        <v>537.25</v>
      </c>
      <c r="AL28" s="266">
        <f t="shared" si="13"/>
        <v>280.5530143125</v>
      </c>
      <c r="AN28" s="153">
        <v>1000</v>
      </c>
    </row>
    <row r="29" spans="1:40">
      <c r="A29" s="237"/>
      <c r="B29" s="232">
        <v>26</v>
      </c>
      <c r="C29" s="236">
        <f t="shared" si="28"/>
        <v>0.75</v>
      </c>
      <c r="D29" s="235">
        <f t="shared" si="31"/>
        <v>1033.19</v>
      </c>
      <c r="E29" s="235">
        <f t="shared" si="24"/>
        <v>0</v>
      </c>
      <c r="F29" s="235">
        <f t="shared" si="18"/>
        <v>113.76</v>
      </c>
      <c r="G29" s="235">
        <f t="shared" si="1"/>
        <v>8.82</v>
      </c>
      <c r="H29" s="236">
        <f t="shared" si="29"/>
        <v>0.65</v>
      </c>
      <c r="I29" s="235">
        <f>I28</f>
        <v>9.72</v>
      </c>
      <c r="J29" s="235">
        <f t="shared" si="19"/>
        <v>265</v>
      </c>
      <c r="K29" s="235">
        <f t="shared" si="2"/>
        <v>61.11</v>
      </c>
      <c r="L29" s="236">
        <f t="shared" si="30"/>
        <v>0.6</v>
      </c>
      <c r="M29" s="235">
        <f t="shared" si="26"/>
        <v>0.87846</v>
      </c>
      <c r="N29" s="235">
        <f t="shared" si="20"/>
        <v>40</v>
      </c>
      <c r="O29" s="235">
        <f t="shared" si="15"/>
        <v>120</v>
      </c>
      <c r="P29" s="235">
        <f t="shared" si="21"/>
        <v>2</v>
      </c>
      <c r="Q29" s="235">
        <f t="shared" si="3"/>
        <v>166.98</v>
      </c>
      <c r="R29" s="236">
        <f t="shared" si="4"/>
        <v>0.75</v>
      </c>
      <c r="S29" s="235">
        <f t="shared" si="16"/>
        <v>0</v>
      </c>
      <c r="T29" s="235">
        <f t="shared" si="5"/>
        <v>28489</v>
      </c>
      <c r="U29" s="235">
        <f t="shared" si="6"/>
        <v>0</v>
      </c>
      <c r="V29" s="236">
        <f t="shared" si="7"/>
        <v>0.75</v>
      </c>
      <c r="W29" s="235">
        <f t="shared" si="17"/>
        <v>42.55</v>
      </c>
      <c r="X29" s="235">
        <f t="shared" si="22"/>
        <v>28489</v>
      </c>
      <c r="Y29" s="235">
        <f t="shared" si="32"/>
        <v>1090.99</v>
      </c>
      <c r="Z29" s="254">
        <f t="shared" si="9"/>
        <v>1327.9</v>
      </c>
      <c r="AA29" s="221">
        <v>254.13</v>
      </c>
      <c r="AB29" s="255"/>
      <c r="AC29" s="232">
        <v>26</v>
      </c>
      <c r="AD29" s="235"/>
      <c r="AE29" s="253">
        <f t="shared" si="10"/>
        <v>66.395</v>
      </c>
      <c r="AF29" s="253">
        <f>AF24*(1+项目技术经济指标!$M$10)</f>
        <v>144.9459</v>
      </c>
      <c r="AG29" s="253">
        <f t="shared" si="27"/>
        <v>42.6521143125</v>
      </c>
      <c r="AH29" s="253">
        <f t="shared" si="23"/>
        <v>0</v>
      </c>
      <c r="AI29" s="253">
        <f t="shared" si="11"/>
        <v>26.56</v>
      </c>
      <c r="AJ29" s="265">
        <f>税费计算!O30</f>
        <v>256.69752293578</v>
      </c>
      <c r="AK29" s="253">
        <f t="shared" si="12"/>
        <v>537.25</v>
      </c>
      <c r="AL29" s="266">
        <f t="shared" si="13"/>
        <v>280.5530143125</v>
      </c>
      <c r="AN29" s="153">
        <v>1300</v>
      </c>
    </row>
    <row r="30" spans="1:40">
      <c r="A30" s="237"/>
      <c r="B30" s="232">
        <v>27</v>
      </c>
      <c r="C30" s="236">
        <f t="shared" si="28"/>
        <v>0.75</v>
      </c>
      <c r="D30" s="235">
        <f t="shared" si="31"/>
        <v>1084.85</v>
      </c>
      <c r="E30" s="235">
        <f t="shared" si="24"/>
        <v>0</v>
      </c>
      <c r="F30" s="235">
        <f t="shared" si="18"/>
        <v>113.76</v>
      </c>
      <c r="G30" s="235">
        <f t="shared" si="1"/>
        <v>9.26</v>
      </c>
      <c r="H30" s="236">
        <f t="shared" si="29"/>
        <v>0.65</v>
      </c>
      <c r="I30" s="235">
        <f>ROUND(I29*1.05,2)</f>
        <v>10.21</v>
      </c>
      <c r="J30" s="235">
        <f t="shared" si="19"/>
        <v>265</v>
      </c>
      <c r="K30" s="235">
        <f t="shared" si="2"/>
        <v>64.19</v>
      </c>
      <c r="L30" s="236">
        <f t="shared" si="30"/>
        <v>0.6</v>
      </c>
      <c r="M30" s="235">
        <f t="shared" si="26"/>
        <v>0.966306</v>
      </c>
      <c r="N30" s="235">
        <f t="shared" si="20"/>
        <v>40</v>
      </c>
      <c r="O30" s="235">
        <f t="shared" si="15"/>
        <v>120</v>
      </c>
      <c r="P30" s="235">
        <f t="shared" si="21"/>
        <v>2</v>
      </c>
      <c r="Q30" s="235">
        <f t="shared" si="3"/>
        <v>183.68</v>
      </c>
      <c r="R30" s="236">
        <f t="shared" si="4"/>
        <v>0.75</v>
      </c>
      <c r="S30" s="235">
        <f>S29*1.05</f>
        <v>0</v>
      </c>
      <c r="T30" s="235">
        <f t="shared" si="5"/>
        <v>28489</v>
      </c>
      <c r="U30" s="235">
        <f t="shared" si="6"/>
        <v>0</v>
      </c>
      <c r="V30" s="236">
        <f t="shared" si="7"/>
        <v>0.75</v>
      </c>
      <c r="W30" s="235">
        <f>ROUND(W29*1.05,2)</f>
        <v>44.68</v>
      </c>
      <c r="X30" s="235">
        <f t="shared" si="22"/>
        <v>28489</v>
      </c>
      <c r="Y30" s="235">
        <f t="shared" si="32"/>
        <v>1145.6</v>
      </c>
      <c r="Z30" s="254">
        <f t="shared" si="9"/>
        <v>1402.73</v>
      </c>
      <c r="AA30" s="221">
        <v>279.44</v>
      </c>
      <c r="AB30" s="255"/>
      <c r="AC30" s="232">
        <v>27</v>
      </c>
      <c r="AD30" s="235"/>
      <c r="AE30" s="253">
        <f t="shared" si="10"/>
        <v>70.1365</v>
      </c>
      <c r="AF30" s="253">
        <f>AF25*(1+项目技术经济指标!$M$10)</f>
        <v>159.44049</v>
      </c>
      <c r="AG30" s="253">
        <f t="shared" si="27"/>
        <v>44.784720028125</v>
      </c>
      <c r="AH30" s="253">
        <f t="shared" si="23"/>
        <v>0</v>
      </c>
      <c r="AI30" s="253">
        <f t="shared" si="11"/>
        <v>28.05</v>
      </c>
      <c r="AJ30" s="265">
        <f>税费计算!O31</f>
        <v>270.590917431193</v>
      </c>
      <c r="AK30" s="253">
        <f t="shared" si="12"/>
        <v>573</v>
      </c>
      <c r="AL30" s="266">
        <f t="shared" si="13"/>
        <v>302.411710028125</v>
      </c>
      <c r="AN30" s="153">
        <v>2000</v>
      </c>
    </row>
    <row r="31" spans="1:40">
      <c r="A31" s="237"/>
      <c r="B31" s="232">
        <v>28</v>
      </c>
      <c r="C31" s="236">
        <f t="shared" si="28"/>
        <v>0.75</v>
      </c>
      <c r="D31" s="235">
        <f t="shared" si="31"/>
        <v>1084.85</v>
      </c>
      <c r="E31" s="235">
        <f t="shared" si="24"/>
        <v>0</v>
      </c>
      <c r="F31" s="235">
        <f t="shared" si="18"/>
        <v>113.76</v>
      </c>
      <c r="G31" s="235">
        <f t="shared" si="1"/>
        <v>9.26</v>
      </c>
      <c r="H31" s="236">
        <f t="shared" si="29"/>
        <v>0.65</v>
      </c>
      <c r="I31" s="235">
        <f>I30</f>
        <v>10.21</v>
      </c>
      <c r="J31" s="235">
        <f t="shared" si="19"/>
        <v>265</v>
      </c>
      <c r="K31" s="235">
        <f t="shared" si="2"/>
        <v>64.19</v>
      </c>
      <c r="L31" s="236">
        <f t="shared" si="30"/>
        <v>0.6</v>
      </c>
      <c r="M31" s="235">
        <f t="shared" si="26"/>
        <v>0.966306</v>
      </c>
      <c r="N31" s="235">
        <f t="shared" si="20"/>
        <v>40</v>
      </c>
      <c r="O31" s="235">
        <f t="shared" si="15"/>
        <v>120</v>
      </c>
      <c r="P31" s="235">
        <f t="shared" si="21"/>
        <v>2</v>
      </c>
      <c r="Q31" s="235">
        <f t="shared" si="3"/>
        <v>183.68</v>
      </c>
      <c r="R31" s="236">
        <f t="shared" si="4"/>
        <v>0.75</v>
      </c>
      <c r="S31" s="235">
        <f t="shared" si="16"/>
        <v>0</v>
      </c>
      <c r="T31" s="235">
        <f t="shared" si="5"/>
        <v>28489</v>
      </c>
      <c r="U31" s="235">
        <f t="shared" si="6"/>
        <v>0</v>
      </c>
      <c r="V31" s="236">
        <f t="shared" si="7"/>
        <v>0.75</v>
      </c>
      <c r="W31" s="235">
        <f t="shared" si="17"/>
        <v>44.68</v>
      </c>
      <c r="X31" s="235">
        <f t="shared" si="22"/>
        <v>28489</v>
      </c>
      <c r="Y31" s="235">
        <f t="shared" si="32"/>
        <v>1145.6</v>
      </c>
      <c r="Z31" s="254">
        <f t="shared" si="9"/>
        <v>1402.73</v>
      </c>
      <c r="AA31" s="221">
        <v>279.44</v>
      </c>
      <c r="AB31" s="255"/>
      <c r="AC31" s="232">
        <v>28</v>
      </c>
      <c r="AD31" s="235"/>
      <c r="AE31" s="253">
        <f t="shared" si="10"/>
        <v>70.1365</v>
      </c>
      <c r="AF31" s="253">
        <f>AF26*(1+项目技术经济指标!$M$10)</f>
        <v>159.44049</v>
      </c>
      <c r="AG31" s="253">
        <f t="shared" si="27"/>
        <v>44.784720028125</v>
      </c>
      <c r="AH31" s="253">
        <f t="shared" si="23"/>
        <v>0</v>
      </c>
      <c r="AI31" s="253">
        <f t="shared" si="11"/>
        <v>28.05</v>
      </c>
      <c r="AJ31" s="265">
        <f>税费计算!O32</f>
        <v>270.590917431193</v>
      </c>
      <c r="AK31" s="253">
        <f t="shared" si="12"/>
        <v>573</v>
      </c>
      <c r="AL31" s="266">
        <f t="shared" si="13"/>
        <v>302.411710028125</v>
      </c>
      <c r="AN31" s="153">
        <f>490*5</f>
        <v>2450</v>
      </c>
    </row>
    <row r="32" spans="1:38">
      <c r="A32" s="237"/>
      <c r="B32" s="232">
        <v>29</v>
      </c>
      <c r="C32" s="236">
        <f t="shared" si="28"/>
        <v>0.75</v>
      </c>
      <c r="D32" s="235">
        <f t="shared" si="31"/>
        <v>1084.85</v>
      </c>
      <c r="E32" s="235">
        <f t="shared" si="24"/>
        <v>0</v>
      </c>
      <c r="F32" s="235">
        <f t="shared" si="18"/>
        <v>113.76</v>
      </c>
      <c r="G32" s="235">
        <f t="shared" si="1"/>
        <v>9.26</v>
      </c>
      <c r="H32" s="236">
        <f t="shared" si="29"/>
        <v>0.65</v>
      </c>
      <c r="I32" s="235">
        <f>I31</f>
        <v>10.21</v>
      </c>
      <c r="J32" s="235">
        <f t="shared" si="19"/>
        <v>265</v>
      </c>
      <c r="K32" s="235">
        <f t="shared" si="2"/>
        <v>64.19</v>
      </c>
      <c r="L32" s="236">
        <f t="shared" si="30"/>
        <v>0.6</v>
      </c>
      <c r="M32" s="235">
        <f t="shared" si="26"/>
        <v>0.966306</v>
      </c>
      <c r="N32" s="235">
        <f t="shared" si="20"/>
        <v>40</v>
      </c>
      <c r="O32" s="235">
        <f t="shared" si="15"/>
        <v>120</v>
      </c>
      <c r="P32" s="235">
        <f t="shared" si="21"/>
        <v>2</v>
      </c>
      <c r="Q32" s="235">
        <f t="shared" si="3"/>
        <v>183.68</v>
      </c>
      <c r="R32" s="236">
        <f t="shared" si="4"/>
        <v>0.75</v>
      </c>
      <c r="S32" s="235">
        <f t="shared" si="16"/>
        <v>0</v>
      </c>
      <c r="T32" s="235">
        <f t="shared" si="5"/>
        <v>28489</v>
      </c>
      <c r="U32" s="235">
        <f t="shared" si="6"/>
        <v>0</v>
      </c>
      <c r="V32" s="236">
        <f t="shared" si="7"/>
        <v>0.75</v>
      </c>
      <c r="W32" s="235">
        <f t="shared" si="17"/>
        <v>44.68</v>
      </c>
      <c r="X32" s="235">
        <f t="shared" si="22"/>
        <v>28489</v>
      </c>
      <c r="Y32" s="235">
        <f t="shared" si="32"/>
        <v>1145.6</v>
      </c>
      <c r="Z32" s="254">
        <f t="shared" si="9"/>
        <v>1402.73</v>
      </c>
      <c r="AA32" s="221">
        <v>279.44</v>
      </c>
      <c r="AB32" s="255"/>
      <c r="AC32" s="232">
        <v>29</v>
      </c>
      <c r="AD32" s="235"/>
      <c r="AE32" s="253">
        <f t="shared" si="10"/>
        <v>70.1365</v>
      </c>
      <c r="AF32" s="253">
        <f>AF27*(1+项目技术经济指标!$M$10)</f>
        <v>159.44049</v>
      </c>
      <c r="AG32" s="253">
        <f t="shared" si="27"/>
        <v>44.784720028125</v>
      </c>
      <c r="AH32" s="253">
        <f t="shared" si="23"/>
        <v>0</v>
      </c>
      <c r="AI32" s="253">
        <f t="shared" si="11"/>
        <v>28.05</v>
      </c>
      <c r="AJ32" s="265">
        <f>税费计算!O33</f>
        <v>270.590917431193</v>
      </c>
      <c r="AK32" s="253">
        <f t="shared" si="12"/>
        <v>573</v>
      </c>
      <c r="AL32" s="266">
        <f t="shared" si="13"/>
        <v>302.411710028125</v>
      </c>
    </row>
    <row r="33" spans="1:38">
      <c r="A33" s="237"/>
      <c r="B33" s="232">
        <v>30</v>
      </c>
      <c r="C33" s="236">
        <f t="shared" si="28"/>
        <v>0.75</v>
      </c>
      <c r="D33" s="235">
        <f t="shared" si="31"/>
        <v>1084.85</v>
      </c>
      <c r="E33" s="235">
        <f t="shared" si="24"/>
        <v>0</v>
      </c>
      <c r="F33" s="235">
        <f t="shared" si="18"/>
        <v>113.76</v>
      </c>
      <c r="G33" s="235">
        <f t="shared" si="1"/>
        <v>9.26</v>
      </c>
      <c r="H33" s="236">
        <f t="shared" si="29"/>
        <v>0.65</v>
      </c>
      <c r="I33" s="235">
        <f>I32</f>
        <v>10.21</v>
      </c>
      <c r="J33" s="235">
        <f t="shared" si="19"/>
        <v>265</v>
      </c>
      <c r="K33" s="235">
        <f t="shared" si="2"/>
        <v>64.19</v>
      </c>
      <c r="L33" s="236">
        <f t="shared" si="30"/>
        <v>0.6</v>
      </c>
      <c r="M33" s="235">
        <f t="shared" si="26"/>
        <v>0.966306</v>
      </c>
      <c r="N33" s="235">
        <f t="shared" si="20"/>
        <v>40</v>
      </c>
      <c r="O33" s="235">
        <f t="shared" si="15"/>
        <v>120</v>
      </c>
      <c r="P33" s="235">
        <f t="shared" si="21"/>
        <v>2</v>
      </c>
      <c r="Q33" s="235">
        <f t="shared" si="3"/>
        <v>183.68</v>
      </c>
      <c r="R33" s="236">
        <f t="shared" si="4"/>
        <v>0.75</v>
      </c>
      <c r="S33" s="235">
        <f t="shared" si="16"/>
        <v>0</v>
      </c>
      <c r="T33" s="235">
        <f t="shared" si="5"/>
        <v>28489</v>
      </c>
      <c r="U33" s="235">
        <f t="shared" si="6"/>
        <v>0</v>
      </c>
      <c r="V33" s="236">
        <f t="shared" si="7"/>
        <v>0.75</v>
      </c>
      <c r="W33" s="235">
        <f t="shared" si="17"/>
        <v>44.68</v>
      </c>
      <c r="X33" s="235">
        <f t="shared" si="22"/>
        <v>28489</v>
      </c>
      <c r="Y33" s="235">
        <f t="shared" si="32"/>
        <v>1145.6</v>
      </c>
      <c r="Z33" s="254">
        <f t="shared" si="9"/>
        <v>1402.73</v>
      </c>
      <c r="AA33" s="221">
        <v>279.44</v>
      </c>
      <c r="AB33" s="255"/>
      <c r="AC33" s="232">
        <v>30</v>
      </c>
      <c r="AD33" s="235"/>
      <c r="AE33" s="253">
        <f t="shared" si="10"/>
        <v>70.1365</v>
      </c>
      <c r="AF33" s="253">
        <f>AF28*(1+项目技术经济指标!$M$10)</f>
        <v>159.44049</v>
      </c>
      <c r="AG33" s="253">
        <f t="shared" si="27"/>
        <v>44.784720028125</v>
      </c>
      <c r="AH33" s="253">
        <f t="shared" si="23"/>
        <v>0</v>
      </c>
      <c r="AI33" s="253">
        <f t="shared" si="11"/>
        <v>28.05</v>
      </c>
      <c r="AJ33" s="265">
        <f>税费计算!O34</f>
        <v>270.590917431193</v>
      </c>
      <c r="AK33" s="253">
        <f t="shared" si="12"/>
        <v>573</v>
      </c>
      <c r="AL33" s="266">
        <f t="shared" si="13"/>
        <v>302.411710028125</v>
      </c>
    </row>
    <row r="34" ht="19" hidden="1" customHeight="1" spans="1:38">
      <c r="A34" s="237"/>
      <c r="B34" s="232">
        <v>31</v>
      </c>
      <c r="C34" s="236"/>
      <c r="D34" s="235"/>
      <c r="E34" s="235"/>
      <c r="F34" s="235"/>
      <c r="G34" s="235"/>
      <c r="H34" s="235"/>
      <c r="I34" s="235"/>
      <c r="J34" s="235"/>
      <c r="K34" s="235"/>
      <c r="L34" s="243"/>
      <c r="M34" s="235"/>
      <c r="N34" s="235"/>
      <c r="O34" s="235"/>
      <c r="P34" s="235"/>
      <c r="Q34" s="235"/>
      <c r="R34" s="235"/>
      <c r="S34" s="235"/>
      <c r="T34" s="235"/>
      <c r="U34" s="235"/>
      <c r="V34" s="243"/>
      <c r="W34" s="235"/>
      <c r="X34" s="235"/>
      <c r="Y34" s="235">
        <f t="shared" si="32"/>
        <v>0</v>
      </c>
      <c r="Z34" s="254">
        <f>ROUND(G34+K34+Y34,2)</f>
        <v>0</v>
      </c>
      <c r="AB34" s="255"/>
      <c r="AC34" s="232">
        <v>31</v>
      </c>
      <c r="AD34" s="235"/>
      <c r="AE34" s="253">
        <f>ROUND(Z34*$AE$3,2)</f>
        <v>0</v>
      </c>
      <c r="AF34" s="235"/>
      <c r="AG34" s="235"/>
      <c r="AH34" s="235">
        <f t="shared" si="23"/>
        <v>0</v>
      </c>
      <c r="AI34" s="235">
        <f t="shared" si="11"/>
        <v>0</v>
      </c>
      <c r="AJ34" s="265">
        <f>ROUND(税费计算!O35,2)</f>
        <v>0</v>
      </c>
      <c r="AK34" s="235">
        <f t="shared" si="12"/>
        <v>0</v>
      </c>
      <c r="AL34" s="266">
        <f t="shared" si="13"/>
        <v>0</v>
      </c>
    </row>
    <row r="35" hidden="1" spans="1:37">
      <c r="A35" s="238"/>
      <c r="B35" s="238"/>
      <c r="C35" s="236"/>
      <c r="D35" s="235"/>
      <c r="E35" s="235"/>
      <c r="F35" s="235"/>
      <c r="G35" s="235"/>
      <c r="H35" s="235"/>
      <c r="I35" s="235"/>
      <c r="J35" s="235"/>
      <c r="K35" s="235"/>
      <c r="L35" s="243"/>
      <c r="M35" s="235"/>
      <c r="N35" s="235"/>
      <c r="O35" s="235"/>
      <c r="P35" s="235"/>
      <c r="Q35" s="235"/>
      <c r="R35" s="235"/>
      <c r="S35" s="235"/>
      <c r="T35" s="235"/>
      <c r="U35" s="235"/>
      <c r="V35" s="243"/>
      <c r="W35" s="235"/>
      <c r="X35" s="235"/>
      <c r="Y35" s="235">
        <f t="shared" si="32"/>
        <v>0</v>
      </c>
      <c r="Z35" s="254">
        <f>ROUND(G35+K35+Y35,2)</f>
        <v>0</v>
      </c>
      <c r="AB35" s="250"/>
      <c r="AC35" s="232"/>
      <c r="AD35" s="232"/>
      <c r="AE35" s="253"/>
      <c r="AF35" s="235"/>
      <c r="AG35" s="235"/>
      <c r="AH35" s="235"/>
      <c r="AI35" s="235"/>
      <c r="AJ35" s="235"/>
      <c r="AK35" s="235"/>
    </row>
    <row r="36" spans="1:39">
      <c r="A36" s="239" t="s">
        <v>189</v>
      </c>
      <c r="B36" s="239"/>
      <c r="C36" s="240"/>
      <c r="D36" s="240"/>
      <c r="E36" s="240"/>
      <c r="F36" s="240"/>
      <c r="G36" s="240">
        <f>SUM(G4:G35)</f>
        <v>230.2</v>
      </c>
      <c r="H36" s="240"/>
      <c r="I36" s="240"/>
      <c r="J36" s="240"/>
      <c r="K36" s="240">
        <f>SUM(K5:K33)</f>
        <v>1592.03</v>
      </c>
      <c r="L36" s="240"/>
      <c r="M36" s="240"/>
      <c r="N36" s="240"/>
      <c r="O36" s="240"/>
      <c r="P36" s="240"/>
      <c r="Q36" s="240">
        <f>SUM(Q4:Q35)</f>
        <v>4092.55</v>
      </c>
      <c r="R36" s="240"/>
      <c r="S36" s="240"/>
      <c r="T36" s="240"/>
      <c r="U36" s="240">
        <f>SUM(U5:U33)</f>
        <v>0</v>
      </c>
      <c r="V36" s="235"/>
      <c r="W36" s="235"/>
      <c r="X36" s="240"/>
      <c r="Y36" s="240">
        <f>SUM(Y4:Y35)</f>
        <v>28480.27</v>
      </c>
      <c r="Z36" s="256">
        <f>SUM(Z5:Z33)</f>
        <v>34395.05</v>
      </c>
      <c r="AA36" s="221">
        <v>6258.85</v>
      </c>
      <c r="AB36" s="239" t="s">
        <v>189</v>
      </c>
      <c r="AC36" s="239"/>
      <c r="AD36" s="240">
        <f>SUM(AD4:AD35)</f>
        <v>0</v>
      </c>
      <c r="AE36" s="240">
        <f t="shared" ref="AE36:AK36" si="33">SUM(AE4:AE35)</f>
        <v>1719.7525</v>
      </c>
      <c r="AF36" s="240">
        <f t="shared" si="33"/>
        <v>3659.78646</v>
      </c>
      <c r="AG36" s="240">
        <f t="shared" si="33"/>
        <v>1148.610882925</v>
      </c>
      <c r="AH36" s="240">
        <f t="shared" si="33"/>
        <v>0</v>
      </c>
      <c r="AI36" s="240">
        <f t="shared" si="33"/>
        <v>687.91</v>
      </c>
      <c r="AJ36" s="240">
        <f t="shared" si="33"/>
        <v>5087.74394495413</v>
      </c>
      <c r="AK36" s="240">
        <f t="shared" si="33"/>
        <v>12303.77</v>
      </c>
      <c r="AL36" s="267">
        <f>SUM(AL5:AL34)</f>
        <v>7216.059842925</v>
      </c>
      <c r="AM36" s="153">
        <f>SUM(AE36:AI36)</f>
        <v>7216.059842925</v>
      </c>
    </row>
    <row r="37" spans="32:32">
      <c r="AF37" s="153">
        <f>AF36/20/29</f>
        <v>6.30997665517241</v>
      </c>
    </row>
    <row r="38" spans="3:25">
      <c r="C38" s="241"/>
      <c r="Y38" s="153">
        <f>V20*W20*X20*12</f>
        <v>10389368.52</v>
      </c>
    </row>
    <row r="39" spans="30:31">
      <c r="AD39" s="153">
        <f>Z36-AK36</f>
        <v>22091.28</v>
      </c>
      <c r="AE39" s="153">
        <f>Z36-AK36</f>
        <v>22091.28</v>
      </c>
    </row>
    <row r="41" spans="31:31">
      <c r="AE41" s="153">
        <f>AF36/29/14</f>
        <v>9.01425236453202</v>
      </c>
    </row>
    <row r="46" spans="30:33">
      <c r="AD46" s="257" t="s">
        <v>370</v>
      </c>
      <c r="AE46" s="257"/>
      <c r="AF46" s="257"/>
      <c r="AG46" s="257"/>
    </row>
    <row r="47" ht="42" spans="30:39">
      <c r="AD47" s="1" t="s">
        <v>371</v>
      </c>
      <c r="AE47" s="2" t="s">
        <v>372</v>
      </c>
      <c r="AF47" s="1" t="s">
        <v>373</v>
      </c>
      <c r="AG47" s="1" t="s">
        <v>374</v>
      </c>
      <c r="AI47" s="268" t="s">
        <v>375</v>
      </c>
      <c r="AJ47" s="268" t="s">
        <v>376</v>
      </c>
      <c r="AK47" s="269" t="s">
        <v>377</v>
      </c>
      <c r="AL47" s="268" t="s">
        <v>378</v>
      </c>
      <c r="AM47" s="268" t="s">
        <v>379</v>
      </c>
    </row>
    <row r="48" ht="18" spans="30:39">
      <c r="AD48" s="258" t="s">
        <v>380</v>
      </c>
      <c r="AE48" s="259">
        <f>$F$6/20000*160</f>
        <v>0.91008</v>
      </c>
      <c r="AF48" s="260">
        <v>1800</v>
      </c>
      <c r="AG48" s="270">
        <f t="shared" ref="AG48:AG51" si="34">AE48*AF48/10000</f>
        <v>0.1638144</v>
      </c>
      <c r="AI48" s="271">
        <f>F6</f>
        <v>113.76</v>
      </c>
      <c r="AJ48" s="257">
        <v>1</v>
      </c>
      <c r="AK48" s="272">
        <f>AI48/10000*AJ48*365</f>
        <v>4.15224</v>
      </c>
      <c r="AL48" s="273">
        <v>160</v>
      </c>
      <c r="AM48" s="272">
        <f>AK48*AL48/10000</f>
        <v>0.06643584</v>
      </c>
    </row>
    <row r="49" ht="18" spans="30:33">
      <c r="AD49" s="258" t="s">
        <v>381</v>
      </c>
      <c r="AE49" s="259">
        <f>$F$6/20000*7.8</f>
        <v>0.0443664</v>
      </c>
      <c r="AF49" s="260">
        <v>28600</v>
      </c>
      <c r="AG49" s="270">
        <f t="shared" si="34"/>
        <v>0.126887904</v>
      </c>
    </row>
    <row r="50" ht="18" spans="30:33">
      <c r="AD50" s="260" t="s">
        <v>382</v>
      </c>
      <c r="AE50" s="259">
        <f>$F$6/20000*125</f>
        <v>0.711</v>
      </c>
      <c r="AF50" s="260">
        <v>2200</v>
      </c>
      <c r="AG50" s="270">
        <f t="shared" si="34"/>
        <v>0.15642</v>
      </c>
    </row>
    <row r="51" ht="18" spans="30:33">
      <c r="AD51" s="258" t="s">
        <v>383</v>
      </c>
      <c r="AE51" s="259">
        <f>$F$6/20000*115</f>
        <v>0.65412</v>
      </c>
      <c r="AF51" s="260">
        <v>3000</v>
      </c>
      <c r="AG51" s="270">
        <f t="shared" si="34"/>
        <v>0.196236</v>
      </c>
    </row>
    <row r="52" spans="30:34">
      <c r="AD52" s="257" t="s">
        <v>189</v>
      </c>
      <c r="AE52" s="257"/>
      <c r="AF52" s="257"/>
      <c r="AG52" s="270">
        <f>SUM(AG48:AG51)</f>
        <v>0.643358304</v>
      </c>
      <c r="AH52" s="274"/>
    </row>
    <row r="53" spans="37:37">
      <c r="AK53" s="274"/>
    </row>
    <row r="54" spans="2:2">
      <c r="B54" s="153">
        <v>69.7</v>
      </c>
    </row>
    <row r="55" spans="2:33">
      <c r="B55" s="153">
        <v>26.7</v>
      </c>
      <c r="AD55" s="221" t="s">
        <v>384</v>
      </c>
      <c r="AE55" s="221"/>
      <c r="AF55" s="221"/>
      <c r="AG55" s="221"/>
    </row>
    <row r="56" spans="2:2">
      <c r="B56" s="153">
        <v>87.6</v>
      </c>
    </row>
    <row r="61" spans="2:2">
      <c r="B61" s="153">
        <v>7500</v>
      </c>
    </row>
    <row r="62" spans="2:2">
      <c r="B62" s="153">
        <v>8000</v>
      </c>
    </row>
    <row r="63" spans="2:2">
      <c r="B63" s="153">
        <v>6500</v>
      </c>
    </row>
    <row r="65" spans="2:2">
      <c r="B65" s="153">
        <v>3000</v>
      </c>
    </row>
    <row r="66" spans="2:2">
      <c r="B66" s="153">
        <v>3000</v>
      </c>
    </row>
    <row r="67" spans="2:2">
      <c r="B67" s="153">
        <v>4000</v>
      </c>
    </row>
    <row r="68" spans="2:2">
      <c r="B68" s="153">
        <v>1000</v>
      </c>
    </row>
    <row r="74" spans="2:2">
      <c r="B74" s="153">
        <f>33600/666.67</f>
        <v>50.39974800126</v>
      </c>
    </row>
  </sheetData>
  <mergeCells count="46">
    <mergeCell ref="C1:G1"/>
    <mergeCell ref="H1:K1"/>
    <mergeCell ref="L1:Q1"/>
    <mergeCell ref="R1:U1"/>
    <mergeCell ref="V1:Y1"/>
    <mergeCell ref="AB1:AF1"/>
    <mergeCell ref="AI1:AK1"/>
    <mergeCell ref="A36:B36"/>
    <mergeCell ref="AB36:AC36"/>
    <mergeCell ref="AD46:AG46"/>
    <mergeCell ref="AD55:AG55"/>
    <mergeCell ref="A1:A3"/>
    <mergeCell ref="A5:A35"/>
    <mergeCell ref="B1:B3"/>
    <mergeCell ref="C2:C3"/>
    <mergeCell ref="D2:D3"/>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1:Z3"/>
    <mergeCell ref="AB2:AB3"/>
    <mergeCell ref="AB5:AB35"/>
    <mergeCell ref="AC2:AC3"/>
    <mergeCell ref="AF2:AF3"/>
    <mergeCell ref="AH2:AH3"/>
    <mergeCell ref="AJ2:AJ3"/>
    <mergeCell ref="AK2:AK3"/>
    <mergeCell ref="AL2:AL3"/>
  </mergeCell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38"/>
  <sheetViews>
    <sheetView zoomScale="70" zoomScaleNormal="70" workbookViewId="0">
      <selection activeCell="D44" sqref="D44"/>
    </sheetView>
  </sheetViews>
  <sheetFormatPr defaultColWidth="8.89166666666667" defaultRowHeight="14"/>
  <cols>
    <col min="2" max="2" width="5.89166666666667" customWidth="1"/>
    <col min="3" max="4" width="10.6666666666667" customWidth="1"/>
    <col min="5" max="5" width="14.1083333333333"/>
    <col min="6" max="6" width="11.8916666666667"/>
    <col min="7" max="10" width="11.8916666666667" customWidth="1"/>
    <col min="11" max="12" width="13" customWidth="1"/>
    <col min="13" max="13" width="15.5583333333333" customWidth="1"/>
  </cols>
  <sheetData>
    <row r="1" spans="2:13">
      <c r="B1" s="208" t="s">
        <v>335</v>
      </c>
      <c r="C1" s="208" t="s">
        <v>385</v>
      </c>
      <c r="D1" s="208"/>
      <c r="E1" s="208"/>
      <c r="F1" s="209" t="s">
        <v>386</v>
      </c>
      <c r="G1" s="210"/>
      <c r="H1" s="209" t="s">
        <v>387</v>
      </c>
      <c r="I1" s="217"/>
      <c r="J1" s="219" t="s">
        <v>388</v>
      </c>
      <c r="K1" s="216"/>
      <c r="L1" s="216"/>
      <c r="M1" s="217"/>
    </row>
    <row r="2" ht="28" spans="2:13">
      <c r="B2" s="208"/>
      <c r="C2" s="208" t="s">
        <v>389</v>
      </c>
      <c r="D2" s="208" t="s">
        <v>390</v>
      </c>
      <c r="E2" s="208" t="s">
        <v>342</v>
      </c>
      <c r="F2" s="211">
        <v>1</v>
      </c>
      <c r="G2" s="208" t="s">
        <v>391</v>
      </c>
      <c r="H2" s="211">
        <v>1</v>
      </c>
      <c r="I2" s="208" t="s">
        <v>392</v>
      </c>
      <c r="J2" s="211">
        <v>1</v>
      </c>
      <c r="K2" s="208" t="s">
        <v>393</v>
      </c>
      <c r="L2" s="208" t="s">
        <v>394</v>
      </c>
      <c r="M2" s="220" t="s">
        <v>395</v>
      </c>
    </row>
    <row r="3" spans="2:13">
      <c r="B3" s="212">
        <v>1</v>
      </c>
      <c r="C3" s="213">
        <f>还本付息!E5</f>
        <v>0</v>
      </c>
      <c r="D3" s="213">
        <f>还本付息!H5</f>
        <v>270</v>
      </c>
      <c r="E3" s="213">
        <f>C3+D3</f>
        <v>270</v>
      </c>
      <c r="F3" s="213"/>
      <c r="G3" s="213"/>
      <c r="H3" s="213"/>
      <c r="I3" s="213"/>
      <c r="J3" s="213"/>
      <c r="K3" s="213"/>
      <c r="L3" s="213"/>
      <c r="M3" s="213"/>
    </row>
    <row r="4" spans="2:13">
      <c r="B4" s="212">
        <v>2</v>
      </c>
      <c r="C4" s="213">
        <f>还本付息!E6</f>
        <v>0</v>
      </c>
      <c r="D4" s="213">
        <f>还本付息!H6</f>
        <v>270</v>
      </c>
      <c r="E4" s="213">
        <f t="shared" ref="E4:E35" si="0">C4+D4</f>
        <v>270</v>
      </c>
      <c r="F4" s="213">
        <f>ROUND(收入成本!Z5,2)</f>
        <v>691.07</v>
      </c>
      <c r="G4" s="213">
        <f>ROUND(收入成本!Z5*0.9,2)</f>
        <v>621.96</v>
      </c>
      <c r="H4" s="213">
        <f>ROUND(收入成本!AK5,2)</f>
        <v>254.25</v>
      </c>
      <c r="I4" s="213">
        <f>ROUND(收入成本!AL5*1.1+收入成本!AJ5,2)</f>
        <v>272.5</v>
      </c>
      <c r="J4" s="213">
        <f>F4-H4</f>
        <v>436.82</v>
      </c>
      <c r="K4" s="213">
        <f>G4-H4</f>
        <v>367.71</v>
      </c>
      <c r="L4" s="213">
        <f>F4-I4</f>
        <v>418.57</v>
      </c>
      <c r="M4" s="213">
        <f>G4-I4</f>
        <v>349.46</v>
      </c>
    </row>
    <row r="5" spans="2:13">
      <c r="B5" s="212">
        <v>3</v>
      </c>
      <c r="C5" s="213">
        <f>还本付息!E7</f>
        <v>0</v>
      </c>
      <c r="D5" s="213">
        <f>还本付息!H7</f>
        <v>270</v>
      </c>
      <c r="E5" s="213">
        <f t="shared" si="0"/>
        <v>270</v>
      </c>
      <c r="F5" s="213">
        <f>ROUND(收入成本!Z6,2)</f>
        <v>774.27</v>
      </c>
      <c r="G5" s="213">
        <f>ROUND(收入成本!Z6*0.9,2)</f>
        <v>696.84</v>
      </c>
      <c r="H5" s="213">
        <f>ROUND(收入成本!AK6,2)</f>
        <v>267.26</v>
      </c>
      <c r="I5" s="213">
        <f>ROUND(收入成本!AL6*1.1+收入成本!AJ6,2)</f>
        <v>286.09</v>
      </c>
      <c r="J5" s="213">
        <f>F5-H5</f>
        <v>507.01</v>
      </c>
      <c r="K5" s="213">
        <f>G5-H5</f>
        <v>429.58</v>
      </c>
      <c r="L5" s="213">
        <f>F5-I5</f>
        <v>488.18</v>
      </c>
      <c r="M5" s="213">
        <f>G5-I5</f>
        <v>410.75</v>
      </c>
    </row>
    <row r="6" spans="2:13">
      <c r="B6" s="212">
        <v>4</v>
      </c>
      <c r="C6" s="213">
        <f>还本付息!E8</f>
        <v>0</v>
      </c>
      <c r="D6" s="213">
        <f>还本付息!H8</f>
        <v>270</v>
      </c>
      <c r="E6" s="213">
        <f t="shared" si="0"/>
        <v>270</v>
      </c>
      <c r="F6" s="213">
        <f>ROUND(收入成本!Z7,2)</f>
        <v>857.45</v>
      </c>
      <c r="G6" s="213">
        <f>ROUND(收入成本!Z7*0.9,2)</f>
        <v>771.71</v>
      </c>
      <c r="H6" s="213">
        <f>ROUND(收入成本!AK7,2)</f>
        <v>280.26</v>
      </c>
      <c r="I6" s="213">
        <f>ROUND(收入成本!AL7*1.1+收入成本!AJ7,2)</f>
        <v>299.67</v>
      </c>
      <c r="J6" s="213">
        <f t="shared" ref="J5:J33" si="1">F6-H6</f>
        <v>577.19</v>
      </c>
      <c r="K6" s="213">
        <f t="shared" ref="K5:K33" si="2">G6-H6</f>
        <v>491.45</v>
      </c>
      <c r="L6" s="213">
        <f t="shared" ref="L5:L33" si="3">F6-I6</f>
        <v>557.78</v>
      </c>
      <c r="M6" s="213">
        <f t="shared" ref="M5:M33" si="4">G6-I6</f>
        <v>472.04</v>
      </c>
    </row>
    <row r="7" spans="2:13">
      <c r="B7" s="212">
        <v>5</v>
      </c>
      <c r="C7" s="213">
        <f>还本付息!E9</f>
        <v>0</v>
      </c>
      <c r="D7" s="213">
        <f>还本付息!H9</f>
        <v>270</v>
      </c>
      <c r="E7" s="213">
        <f t="shared" si="0"/>
        <v>270</v>
      </c>
      <c r="F7" s="213">
        <f>ROUND(收入成本!Z8,2)</f>
        <v>935.01</v>
      </c>
      <c r="G7" s="213">
        <f>ROUND(收入成本!Z8*0.9,2)</f>
        <v>841.51</v>
      </c>
      <c r="H7" s="213">
        <f>ROUND(收入成本!AK8,2)</f>
        <v>292.87</v>
      </c>
      <c r="I7" s="213">
        <f>ROUND(收入成本!AL8*1.1+收入成本!AJ8,2)</f>
        <v>312.82</v>
      </c>
      <c r="J7" s="213">
        <f t="shared" si="1"/>
        <v>642.14</v>
      </c>
      <c r="K7" s="213">
        <f t="shared" si="2"/>
        <v>548.64</v>
      </c>
      <c r="L7" s="213">
        <f t="shared" si="3"/>
        <v>622.19</v>
      </c>
      <c r="M7" s="213">
        <f t="shared" si="4"/>
        <v>528.69</v>
      </c>
    </row>
    <row r="8" spans="2:13">
      <c r="B8" s="212">
        <v>6</v>
      </c>
      <c r="C8" s="213">
        <f>还本付息!E10</f>
        <v>0</v>
      </c>
      <c r="D8" s="213">
        <f>还本付息!H10</f>
        <v>270</v>
      </c>
      <c r="E8" s="213">
        <f t="shared" si="0"/>
        <v>270</v>
      </c>
      <c r="F8" s="213">
        <f>ROUND(收入成本!Z9,2)</f>
        <v>1004.83</v>
      </c>
      <c r="G8" s="213">
        <f>ROUND(收入成本!Z9*0.9,2)</f>
        <v>904.35</v>
      </c>
      <c r="H8" s="213">
        <f>ROUND(收入成本!AK9,2)</f>
        <v>304.94</v>
      </c>
      <c r="I8" s="213">
        <f>ROUND(收入成本!AL9*1.1+收入成本!AJ9,2)</f>
        <v>325.38</v>
      </c>
      <c r="J8" s="213">
        <f t="shared" si="1"/>
        <v>699.89</v>
      </c>
      <c r="K8" s="213">
        <f t="shared" si="2"/>
        <v>599.41</v>
      </c>
      <c r="L8" s="213">
        <f t="shared" si="3"/>
        <v>679.45</v>
      </c>
      <c r="M8" s="213">
        <f t="shared" si="4"/>
        <v>578.97</v>
      </c>
    </row>
    <row r="9" spans="2:13">
      <c r="B9" s="212">
        <v>7</v>
      </c>
      <c r="C9" s="213">
        <f>还本付息!E11</f>
        <v>0</v>
      </c>
      <c r="D9" s="213">
        <f>还本付息!H11</f>
        <v>270</v>
      </c>
      <c r="E9" s="213">
        <f t="shared" si="0"/>
        <v>270</v>
      </c>
      <c r="F9" s="213">
        <f>ROUND(收入成本!Z10,2)</f>
        <v>1128.14</v>
      </c>
      <c r="G9" s="213">
        <f>ROUND(收入成本!Z10*0.9,2)</f>
        <v>1015.33</v>
      </c>
      <c r="H9" s="213">
        <f>ROUND(收入成本!AK10,2)</f>
        <v>337.78</v>
      </c>
      <c r="I9" s="213">
        <f>ROUND(收入成本!AL10*1.1+收入成本!AJ10,2)</f>
        <v>360.25</v>
      </c>
      <c r="J9" s="213">
        <f t="shared" si="1"/>
        <v>790.36</v>
      </c>
      <c r="K9" s="213">
        <f t="shared" si="2"/>
        <v>677.55</v>
      </c>
      <c r="L9" s="213">
        <f t="shared" si="3"/>
        <v>767.89</v>
      </c>
      <c r="M9" s="213">
        <f t="shared" si="4"/>
        <v>655.08</v>
      </c>
    </row>
    <row r="10" spans="2:13">
      <c r="B10" s="212">
        <v>8</v>
      </c>
      <c r="C10" s="213">
        <f>还本付息!E12</f>
        <v>0</v>
      </c>
      <c r="D10" s="213">
        <f>还本付息!H12</f>
        <v>270</v>
      </c>
      <c r="E10" s="213">
        <f t="shared" si="0"/>
        <v>270</v>
      </c>
      <c r="F10" s="213">
        <f>ROUND(收入成本!Z11,2)</f>
        <v>1128.14</v>
      </c>
      <c r="G10" s="213">
        <f>ROUND(收入成本!Z11*0.9,2)</f>
        <v>1015.33</v>
      </c>
      <c r="H10" s="213">
        <f>ROUND(收入成本!AK11,2)</f>
        <v>337.78</v>
      </c>
      <c r="I10" s="213">
        <f>ROUND(收入成本!AL11*1.1+收入成本!AJ11,2)</f>
        <v>360.25</v>
      </c>
      <c r="J10" s="213">
        <f t="shared" si="1"/>
        <v>790.36</v>
      </c>
      <c r="K10" s="213">
        <f t="shared" si="2"/>
        <v>677.55</v>
      </c>
      <c r="L10" s="213">
        <f t="shared" si="3"/>
        <v>767.89</v>
      </c>
      <c r="M10" s="213">
        <f t="shared" si="4"/>
        <v>655.08</v>
      </c>
    </row>
    <row r="11" spans="2:13">
      <c r="B11" s="212">
        <v>9</v>
      </c>
      <c r="C11" s="213">
        <f>还本付息!E13</f>
        <v>0</v>
      </c>
      <c r="D11" s="213">
        <f>还本付息!H13</f>
        <v>270</v>
      </c>
      <c r="E11" s="213">
        <f t="shared" si="0"/>
        <v>270</v>
      </c>
      <c r="F11" s="213">
        <f>ROUND(收入成本!Z12,2)</f>
        <v>1128.14</v>
      </c>
      <c r="G11" s="213">
        <f>ROUND(收入成本!Z12*0.9,2)</f>
        <v>1015.33</v>
      </c>
      <c r="H11" s="213">
        <f>ROUND(收入成本!AK12,2)</f>
        <v>337.78</v>
      </c>
      <c r="I11" s="213">
        <f>ROUND(收入成本!AL12*1.1+收入成本!AJ12,2)</f>
        <v>360.25</v>
      </c>
      <c r="J11" s="213">
        <f t="shared" si="1"/>
        <v>790.36</v>
      </c>
      <c r="K11" s="213">
        <f t="shared" si="2"/>
        <v>677.55</v>
      </c>
      <c r="L11" s="213">
        <f t="shared" si="3"/>
        <v>767.89</v>
      </c>
      <c r="M11" s="213">
        <f t="shared" si="4"/>
        <v>655.08</v>
      </c>
    </row>
    <row r="12" spans="2:13">
      <c r="B12" s="212">
        <v>10</v>
      </c>
      <c r="C12" s="213">
        <f>还本付息!E14</f>
        <v>0</v>
      </c>
      <c r="D12" s="213">
        <f>还本付息!H14</f>
        <v>270</v>
      </c>
      <c r="E12" s="213">
        <f t="shared" si="0"/>
        <v>270</v>
      </c>
      <c r="F12" s="213">
        <f>ROUND(收入成本!Z13,2)</f>
        <v>1128.14</v>
      </c>
      <c r="G12" s="213">
        <f>ROUND(收入成本!Z13*0.9,2)</f>
        <v>1015.33</v>
      </c>
      <c r="H12" s="213">
        <f>ROUND(收入成本!AK13,2)</f>
        <v>337.78</v>
      </c>
      <c r="I12" s="213">
        <f>ROUND(收入成本!AL13*1.1+收入成本!AJ13,2)</f>
        <v>360.25</v>
      </c>
      <c r="J12" s="213">
        <f t="shared" si="1"/>
        <v>790.36</v>
      </c>
      <c r="K12" s="213">
        <f t="shared" si="2"/>
        <v>677.55</v>
      </c>
      <c r="L12" s="213">
        <f t="shared" si="3"/>
        <v>767.89</v>
      </c>
      <c r="M12" s="213">
        <f t="shared" si="4"/>
        <v>655.08</v>
      </c>
    </row>
    <row r="13" spans="2:13">
      <c r="B13" s="212">
        <v>11</v>
      </c>
      <c r="C13" s="213">
        <f>还本付息!E15</f>
        <v>0</v>
      </c>
      <c r="D13" s="213">
        <f>还本付息!H15</f>
        <v>270</v>
      </c>
      <c r="E13" s="213">
        <f t="shared" si="0"/>
        <v>270</v>
      </c>
      <c r="F13" s="213">
        <f>ROUND(收入成本!Z14,2)</f>
        <v>1128.14</v>
      </c>
      <c r="G13" s="213">
        <f>ROUND(收入成本!Z14*0.9,2)</f>
        <v>1015.33</v>
      </c>
      <c r="H13" s="213">
        <f>ROUND(收入成本!AK14,2)</f>
        <v>337.78</v>
      </c>
      <c r="I13" s="213">
        <f>ROUND(收入成本!AL14*1.1+收入成本!AJ14,2)</f>
        <v>360.25</v>
      </c>
      <c r="J13" s="213">
        <f t="shared" si="1"/>
        <v>790.36</v>
      </c>
      <c r="K13" s="213">
        <f t="shared" si="2"/>
        <v>677.55</v>
      </c>
      <c r="L13" s="213">
        <f t="shared" si="3"/>
        <v>767.89</v>
      </c>
      <c r="M13" s="213">
        <f t="shared" si="4"/>
        <v>655.08</v>
      </c>
    </row>
    <row r="14" spans="2:13">
      <c r="B14" s="212">
        <v>12</v>
      </c>
      <c r="C14" s="213">
        <f>还本付息!E16</f>
        <v>0</v>
      </c>
      <c r="D14" s="213">
        <f>还本付息!H16</f>
        <v>270</v>
      </c>
      <c r="E14" s="213">
        <f t="shared" si="0"/>
        <v>270</v>
      </c>
      <c r="F14" s="213">
        <f>ROUND(收入成本!Z15,2)</f>
        <v>1190.9</v>
      </c>
      <c r="G14" s="213">
        <f>ROUND(收入成本!Z15*0.9,2)</f>
        <v>1071.81</v>
      </c>
      <c r="H14" s="213">
        <f>ROUND(收入成本!AK15,2)</f>
        <v>360.57</v>
      </c>
      <c r="I14" s="213">
        <f>ROUND(收入成本!AL15*1.1+收入成本!AJ15,2)</f>
        <v>384.76</v>
      </c>
      <c r="J14" s="213">
        <f t="shared" si="1"/>
        <v>830.33</v>
      </c>
      <c r="K14" s="213">
        <f t="shared" si="2"/>
        <v>711.24</v>
      </c>
      <c r="L14" s="213">
        <f t="shared" si="3"/>
        <v>806.14</v>
      </c>
      <c r="M14" s="213">
        <f t="shared" si="4"/>
        <v>687.05</v>
      </c>
    </row>
    <row r="15" spans="2:13">
      <c r="B15" s="212">
        <v>13</v>
      </c>
      <c r="C15" s="213">
        <f>还本付息!E17</f>
        <v>0</v>
      </c>
      <c r="D15" s="213">
        <f>还本付息!H17</f>
        <v>270</v>
      </c>
      <c r="E15" s="213">
        <f t="shared" si="0"/>
        <v>270</v>
      </c>
      <c r="F15" s="213">
        <f>ROUND(收入成本!Z16,2)</f>
        <v>1190.9</v>
      </c>
      <c r="G15" s="213">
        <f>ROUND(收入成本!Z16*0.9,2)</f>
        <v>1071.81</v>
      </c>
      <c r="H15" s="213">
        <f>ROUND(收入成本!AK16,2)</f>
        <v>360.57</v>
      </c>
      <c r="I15" s="213">
        <f>ROUND(收入成本!AL16*1.1+收入成本!AJ16,2)</f>
        <v>384.76</v>
      </c>
      <c r="J15" s="213">
        <f t="shared" si="1"/>
        <v>830.33</v>
      </c>
      <c r="K15" s="213">
        <f t="shared" si="2"/>
        <v>711.24</v>
      </c>
      <c r="L15" s="213">
        <f t="shared" si="3"/>
        <v>806.14</v>
      </c>
      <c r="M15" s="213">
        <f t="shared" si="4"/>
        <v>687.05</v>
      </c>
    </row>
    <row r="16" spans="2:13">
      <c r="B16" s="212">
        <v>14</v>
      </c>
      <c r="C16" s="213">
        <f>还本付息!E18</f>
        <v>0</v>
      </c>
      <c r="D16" s="213">
        <f>还本付息!H18</f>
        <v>270</v>
      </c>
      <c r="E16" s="213">
        <f t="shared" si="0"/>
        <v>270</v>
      </c>
      <c r="F16" s="213">
        <f>ROUND(收入成本!Z17,2)</f>
        <v>1190.9</v>
      </c>
      <c r="G16" s="213">
        <f>ROUND(收入成本!Z17*0.9,2)</f>
        <v>1071.81</v>
      </c>
      <c r="H16" s="213">
        <f>ROUND(收入成本!AK17,2)</f>
        <v>360.57</v>
      </c>
      <c r="I16" s="213">
        <f>ROUND(收入成本!AL17*1.1+收入成本!AJ17,2)</f>
        <v>384.76</v>
      </c>
      <c r="J16" s="213">
        <f t="shared" si="1"/>
        <v>830.33</v>
      </c>
      <c r="K16" s="213">
        <f t="shared" si="2"/>
        <v>711.24</v>
      </c>
      <c r="L16" s="213">
        <f t="shared" si="3"/>
        <v>806.14</v>
      </c>
      <c r="M16" s="213">
        <f t="shared" si="4"/>
        <v>687.05</v>
      </c>
    </row>
    <row r="17" spans="2:13">
      <c r="B17" s="212">
        <v>15</v>
      </c>
      <c r="C17" s="213">
        <f>还本付息!E19</f>
        <v>0</v>
      </c>
      <c r="D17" s="213">
        <f>还本付息!H19</f>
        <v>270</v>
      </c>
      <c r="E17" s="213">
        <f t="shared" si="0"/>
        <v>270</v>
      </c>
      <c r="F17" s="213">
        <f>ROUND(收入成本!Z18,2)</f>
        <v>1190.9</v>
      </c>
      <c r="G17" s="213">
        <f>ROUND(收入成本!Z18*0.9,2)</f>
        <v>1071.81</v>
      </c>
      <c r="H17" s="213">
        <f>ROUND(收入成本!AK18,2)</f>
        <v>360.57</v>
      </c>
      <c r="I17" s="213">
        <f>ROUND(收入成本!AL18*1.1+收入成本!AJ18,2)</f>
        <v>384.76</v>
      </c>
      <c r="J17" s="213">
        <f t="shared" si="1"/>
        <v>830.33</v>
      </c>
      <c r="K17" s="213">
        <f t="shared" si="2"/>
        <v>711.24</v>
      </c>
      <c r="L17" s="213">
        <f t="shared" si="3"/>
        <v>806.14</v>
      </c>
      <c r="M17" s="213">
        <f t="shared" si="4"/>
        <v>687.05</v>
      </c>
    </row>
    <row r="18" spans="2:13">
      <c r="B18" s="212">
        <v>16</v>
      </c>
      <c r="C18" s="213">
        <f>还本付息!E20</f>
        <v>0</v>
      </c>
      <c r="D18" s="213">
        <f>还本付息!H20</f>
        <v>270</v>
      </c>
      <c r="E18" s="213">
        <f t="shared" si="0"/>
        <v>270</v>
      </c>
      <c r="F18" s="213">
        <f>ROUND(收入成本!Z19,2)</f>
        <v>1190.9</v>
      </c>
      <c r="G18" s="213">
        <f>ROUND(收入成本!Z19*0.9,2)</f>
        <v>1071.81</v>
      </c>
      <c r="H18" s="213">
        <f>ROUND(收入成本!AK19,2)</f>
        <v>360.57</v>
      </c>
      <c r="I18" s="213">
        <f>ROUND(收入成本!AL19*1.1+收入成本!AJ19,2)</f>
        <v>384.76</v>
      </c>
      <c r="J18" s="213">
        <f t="shared" si="1"/>
        <v>830.33</v>
      </c>
      <c r="K18" s="213">
        <f t="shared" si="2"/>
        <v>711.24</v>
      </c>
      <c r="L18" s="213">
        <f t="shared" si="3"/>
        <v>806.14</v>
      </c>
      <c r="M18" s="213">
        <f t="shared" si="4"/>
        <v>687.05</v>
      </c>
    </row>
    <row r="19" spans="2:13">
      <c r="B19" s="212">
        <v>17</v>
      </c>
      <c r="C19" s="213">
        <f>还本付息!E21</f>
        <v>0</v>
      </c>
      <c r="D19" s="213">
        <f>还本付息!H21</f>
        <v>270</v>
      </c>
      <c r="E19" s="213">
        <f t="shared" si="0"/>
        <v>270</v>
      </c>
      <c r="F19" s="213">
        <f>ROUND(收入成本!Z20,2)</f>
        <v>1257.36</v>
      </c>
      <c r="G19" s="213">
        <f>ROUND(收入成本!Z20*0.9,2)</f>
        <v>1131.62</v>
      </c>
      <c r="H19" s="213">
        <f>ROUND(收入成本!AK20,2)</f>
        <v>418.47</v>
      </c>
      <c r="I19" s="213">
        <f>ROUND(收入成本!AL20*1.1+收入成本!AJ20,2)</f>
        <v>444.51</v>
      </c>
      <c r="J19" s="213">
        <f t="shared" si="1"/>
        <v>838.89</v>
      </c>
      <c r="K19" s="213">
        <f t="shared" si="2"/>
        <v>713.15</v>
      </c>
      <c r="L19" s="213">
        <f t="shared" si="3"/>
        <v>812.85</v>
      </c>
      <c r="M19" s="213">
        <f t="shared" si="4"/>
        <v>687.11</v>
      </c>
    </row>
    <row r="20" spans="2:13">
      <c r="B20" s="212">
        <v>18</v>
      </c>
      <c r="C20" s="213">
        <f>还本付息!E22</f>
        <v>0</v>
      </c>
      <c r="D20" s="213">
        <f>还本付息!H22</f>
        <v>270</v>
      </c>
      <c r="E20" s="213">
        <f t="shared" si="0"/>
        <v>270</v>
      </c>
      <c r="F20" s="213">
        <f>ROUND(收入成本!Z21,2)</f>
        <v>1257.36</v>
      </c>
      <c r="G20" s="213">
        <f>ROUND(收入成本!Z21*0.9,2)</f>
        <v>1131.62</v>
      </c>
      <c r="H20" s="213">
        <f>ROUND(收入成本!AK21,2)</f>
        <v>503.93</v>
      </c>
      <c r="I20" s="213">
        <f>ROUND(收入成本!AL21*1.1+收入成本!AJ21,2)</f>
        <v>529.97</v>
      </c>
      <c r="J20" s="213">
        <f t="shared" si="1"/>
        <v>753.43</v>
      </c>
      <c r="K20" s="213">
        <f t="shared" si="2"/>
        <v>627.69</v>
      </c>
      <c r="L20" s="213">
        <f t="shared" si="3"/>
        <v>727.39</v>
      </c>
      <c r="M20" s="213">
        <f t="shared" si="4"/>
        <v>601.65</v>
      </c>
    </row>
    <row r="21" spans="2:13">
      <c r="B21" s="212">
        <v>19</v>
      </c>
      <c r="C21" s="213">
        <f>还本付息!E23</f>
        <v>0</v>
      </c>
      <c r="D21" s="213">
        <f>还本付息!H23</f>
        <v>270</v>
      </c>
      <c r="E21" s="213">
        <f t="shared" si="0"/>
        <v>270</v>
      </c>
      <c r="F21" s="213">
        <f>ROUND(收入成本!Z22,2)</f>
        <v>1257.36</v>
      </c>
      <c r="G21" s="213">
        <f>ROUND(收入成本!Z22*0.9,2)</f>
        <v>1131.62</v>
      </c>
      <c r="H21" s="213">
        <f>ROUND(收入成本!AK22,2)</f>
        <v>503.93</v>
      </c>
      <c r="I21" s="213">
        <f>ROUND(收入成本!AL22*1.1+收入成本!AJ22,2)</f>
        <v>529.97</v>
      </c>
      <c r="J21" s="213">
        <f t="shared" si="1"/>
        <v>753.43</v>
      </c>
      <c r="K21" s="213">
        <f t="shared" si="2"/>
        <v>627.69</v>
      </c>
      <c r="L21" s="213">
        <f t="shared" si="3"/>
        <v>727.39</v>
      </c>
      <c r="M21" s="213">
        <f t="shared" si="4"/>
        <v>601.65</v>
      </c>
    </row>
    <row r="22" spans="2:13">
      <c r="B22" s="212">
        <v>20</v>
      </c>
      <c r="C22" s="213">
        <f>还本付息!E24</f>
        <v>0</v>
      </c>
      <c r="D22" s="213">
        <f>还本付息!H24</f>
        <v>270</v>
      </c>
      <c r="E22" s="213">
        <f t="shared" si="0"/>
        <v>270</v>
      </c>
      <c r="F22" s="213">
        <f>ROUND(收入成本!Z23,2)</f>
        <v>1257.36</v>
      </c>
      <c r="G22" s="213">
        <f>ROUND(收入成本!Z23*0.9,2)</f>
        <v>1131.62</v>
      </c>
      <c r="H22" s="213">
        <f>ROUND(收入成本!AK23,2)</f>
        <v>503.93</v>
      </c>
      <c r="I22" s="213">
        <f>ROUND(收入成本!AL23*1.1+收入成本!AJ23,2)</f>
        <v>529.97</v>
      </c>
      <c r="J22" s="213">
        <f t="shared" si="1"/>
        <v>753.43</v>
      </c>
      <c r="K22" s="213">
        <f t="shared" si="2"/>
        <v>627.69</v>
      </c>
      <c r="L22" s="213">
        <f t="shared" si="3"/>
        <v>727.39</v>
      </c>
      <c r="M22" s="213">
        <f t="shared" si="4"/>
        <v>601.65</v>
      </c>
    </row>
    <row r="23" spans="2:13">
      <c r="B23" s="212">
        <v>21</v>
      </c>
      <c r="C23" s="213">
        <f>还本付息!E25</f>
        <v>0</v>
      </c>
      <c r="D23" s="213">
        <f>还本付息!H25</f>
        <v>270</v>
      </c>
      <c r="E23" s="213">
        <f t="shared" si="0"/>
        <v>270</v>
      </c>
      <c r="F23" s="213">
        <f>ROUND(收入成本!Z24,2)</f>
        <v>1257.36</v>
      </c>
      <c r="G23" s="213">
        <f>ROUND(收入成本!Z24*0.9,2)</f>
        <v>1131.62</v>
      </c>
      <c r="H23" s="213">
        <f>ROUND(收入成本!AK24,2)</f>
        <v>503.93</v>
      </c>
      <c r="I23" s="213">
        <f>ROUND(收入成本!AL24*1.1+收入成本!AJ24,2)</f>
        <v>529.97</v>
      </c>
      <c r="J23" s="213">
        <f t="shared" si="1"/>
        <v>753.43</v>
      </c>
      <c r="K23" s="213">
        <f t="shared" si="2"/>
        <v>627.69</v>
      </c>
      <c r="L23" s="213">
        <f t="shared" si="3"/>
        <v>727.39</v>
      </c>
      <c r="M23" s="213">
        <f t="shared" si="4"/>
        <v>601.65</v>
      </c>
    </row>
    <row r="24" spans="2:13">
      <c r="B24" s="212">
        <v>22</v>
      </c>
      <c r="C24" s="213">
        <f>还本付息!E26</f>
        <v>0</v>
      </c>
      <c r="D24" s="213">
        <f>还本付息!H26</f>
        <v>270</v>
      </c>
      <c r="E24" s="213">
        <f t="shared" si="0"/>
        <v>270</v>
      </c>
      <c r="F24" s="213">
        <f>ROUND(收入成本!Z25,2)</f>
        <v>1327.9</v>
      </c>
      <c r="G24" s="213">
        <f>ROUND(收入成本!Z25*0.9,2)</f>
        <v>1195.11</v>
      </c>
      <c r="H24" s="213">
        <f>ROUND(收入成本!AK25,2)</f>
        <v>537.25</v>
      </c>
      <c r="I24" s="213">
        <f>ROUND(收入成本!AL25*1.1+收入成本!AJ25,2)</f>
        <v>565.31</v>
      </c>
      <c r="J24" s="213">
        <f t="shared" si="1"/>
        <v>790.65</v>
      </c>
      <c r="K24" s="213">
        <f t="shared" si="2"/>
        <v>657.86</v>
      </c>
      <c r="L24" s="213">
        <f t="shared" si="3"/>
        <v>762.59</v>
      </c>
      <c r="M24" s="213">
        <f t="shared" si="4"/>
        <v>629.8</v>
      </c>
    </row>
    <row r="25" spans="2:13">
      <c r="B25" s="212">
        <v>23</v>
      </c>
      <c r="C25" s="213">
        <f>还本付息!E27</f>
        <v>0</v>
      </c>
      <c r="D25" s="213">
        <f>还本付息!H27</f>
        <v>270</v>
      </c>
      <c r="E25" s="213">
        <f t="shared" si="0"/>
        <v>270</v>
      </c>
      <c r="F25" s="213">
        <f>ROUND(收入成本!Z26,2)</f>
        <v>1327.9</v>
      </c>
      <c r="G25" s="213">
        <f>ROUND(收入成本!Z26*0.9,2)</f>
        <v>1195.11</v>
      </c>
      <c r="H25" s="213">
        <f>ROUND(收入成本!AK26,2)</f>
        <v>537.25</v>
      </c>
      <c r="I25" s="213">
        <f>ROUND(收入成本!AL26*1.1+收入成本!AJ26,2)</f>
        <v>565.31</v>
      </c>
      <c r="J25" s="213">
        <f t="shared" si="1"/>
        <v>790.65</v>
      </c>
      <c r="K25" s="213">
        <f t="shared" si="2"/>
        <v>657.86</v>
      </c>
      <c r="L25" s="213">
        <f t="shared" si="3"/>
        <v>762.59</v>
      </c>
      <c r="M25" s="213">
        <f t="shared" si="4"/>
        <v>629.8</v>
      </c>
    </row>
    <row r="26" spans="2:13">
      <c r="B26" s="212">
        <v>24</v>
      </c>
      <c r="C26" s="213">
        <f>还本付息!E28</f>
        <v>0</v>
      </c>
      <c r="D26" s="213">
        <f>还本付息!H28</f>
        <v>270</v>
      </c>
      <c r="E26" s="213">
        <f t="shared" si="0"/>
        <v>270</v>
      </c>
      <c r="F26" s="213">
        <f>ROUND(收入成本!Z27,2)</f>
        <v>1327.9</v>
      </c>
      <c r="G26" s="213">
        <f>ROUND(收入成本!Z27*0.9,2)</f>
        <v>1195.11</v>
      </c>
      <c r="H26" s="213">
        <f>ROUND(收入成本!AK27,2)</f>
        <v>537.25</v>
      </c>
      <c r="I26" s="213">
        <f>ROUND(收入成本!AL27*1.1+收入成本!AJ27,2)</f>
        <v>565.31</v>
      </c>
      <c r="J26" s="213">
        <f t="shared" si="1"/>
        <v>790.65</v>
      </c>
      <c r="K26" s="213">
        <f t="shared" si="2"/>
        <v>657.86</v>
      </c>
      <c r="L26" s="213">
        <f t="shared" si="3"/>
        <v>762.59</v>
      </c>
      <c r="M26" s="213">
        <f t="shared" si="4"/>
        <v>629.8</v>
      </c>
    </row>
    <row r="27" spans="2:13">
      <c r="B27" s="212">
        <v>25</v>
      </c>
      <c r="C27" s="213">
        <f>还本付息!E29</f>
        <v>0</v>
      </c>
      <c r="D27" s="213">
        <f>还本付息!H29</f>
        <v>270</v>
      </c>
      <c r="E27" s="213">
        <f t="shared" si="0"/>
        <v>270</v>
      </c>
      <c r="F27" s="213">
        <f>ROUND(收入成本!Z28,2)</f>
        <v>1327.9</v>
      </c>
      <c r="G27" s="213">
        <f>ROUND(收入成本!Z28*0.9,2)</f>
        <v>1195.11</v>
      </c>
      <c r="H27" s="213">
        <f>ROUND(收入成本!AK28,2)</f>
        <v>537.25</v>
      </c>
      <c r="I27" s="213">
        <f>ROUND(收入成本!AL28*1.1+收入成本!AJ28,2)</f>
        <v>565.31</v>
      </c>
      <c r="J27" s="213">
        <f t="shared" si="1"/>
        <v>790.65</v>
      </c>
      <c r="K27" s="213">
        <f t="shared" si="2"/>
        <v>657.86</v>
      </c>
      <c r="L27" s="213">
        <f t="shared" si="3"/>
        <v>762.59</v>
      </c>
      <c r="M27" s="213">
        <f t="shared" si="4"/>
        <v>629.8</v>
      </c>
    </row>
    <row r="28" spans="2:13">
      <c r="B28" s="212">
        <v>26</v>
      </c>
      <c r="C28" s="213">
        <f>还本付息!E30</f>
        <v>0</v>
      </c>
      <c r="D28" s="213">
        <f>还本付息!H30</f>
        <v>270</v>
      </c>
      <c r="E28" s="213">
        <f t="shared" si="0"/>
        <v>270</v>
      </c>
      <c r="F28" s="213">
        <f>ROUND(收入成本!Z29,2)</f>
        <v>1327.9</v>
      </c>
      <c r="G28" s="213">
        <f>ROUND(收入成本!Z29*0.9,2)</f>
        <v>1195.11</v>
      </c>
      <c r="H28" s="213">
        <f>ROUND(收入成本!AK29,2)</f>
        <v>537.25</v>
      </c>
      <c r="I28" s="213">
        <f>ROUND(收入成本!AL29*1.1+收入成本!AJ29,2)</f>
        <v>565.31</v>
      </c>
      <c r="J28" s="213">
        <f t="shared" si="1"/>
        <v>790.65</v>
      </c>
      <c r="K28" s="213">
        <f t="shared" si="2"/>
        <v>657.86</v>
      </c>
      <c r="L28" s="213">
        <f t="shared" si="3"/>
        <v>762.59</v>
      </c>
      <c r="M28" s="213">
        <f t="shared" si="4"/>
        <v>629.8</v>
      </c>
    </row>
    <row r="29" spans="2:13">
      <c r="B29" s="212">
        <v>27</v>
      </c>
      <c r="C29" s="213">
        <f>还本付息!E31</f>
        <v>0</v>
      </c>
      <c r="D29" s="213">
        <f>还本付息!H31</f>
        <v>270</v>
      </c>
      <c r="E29" s="213">
        <f t="shared" si="0"/>
        <v>270</v>
      </c>
      <c r="F29" s="213">
        <f>ROUND(收入成本!Z30,2)</f>
        <v>1402.73</v>
      </c>
      <c r="G29" s="213">
        <f>ROUND(收入成本!Z30*0.9,2)</f>
        <v>1262.46</v>
      </c>
      <c r="H29" s="213">
        <f>ROUND(收入成本!AK30,2)</f>
        <v>573</v>
      </c>
      <c r="I29" s="213">
        <f>ROUND(收入成本!AL30*1.1+收入成本!AJ30,2)</f>
        <v>603.24</v>
      </c>
      <c r="J29" s="213">
        <f t="shared" si="1"/>
        <v>829.73</v>
      </c>
      <c r="K29" s="213">
        <f t="shared" si="2"/>
        <v>689.46</v>
      </c>
      <c r="L29" s="213">
        <f t="shared" si="3"/>
        <v>799.49</v>
      </c>
      <c r="M29" s="213">
        <f t="shared" si="4"/>
        <v>659.22</v>
      </c>
    </row>
    <row r="30" spans="2:13">
      <c r="B30" s="212">
        <v>28</v>
      </c>
      <c r="C30" s="213">
        <f>还本付息!E32</f>
        <v>0</v>
      </c>
      <c r="D30" s="213">
        <f>还本付息!H32</f>
        <v>270</v>
      </c>
      <c r="E30" s="213">
        <f t="shared" si="0"/>
        <v>270</v>
      </c>
      <c r="F30" s="213">
        <f>ROUND(收入成本!Z31,2)</f>
        <v>1402.73</v>
      </c>
      <c r="G30" s="213">
        <f>ROUND(收入成本!Z31*0.9,2)</f>
        <v>1262.46</v>
      </c>
      <c r="H30" s="213">
        <f>ROUND(收入成本!AK31,2)</f>
        <v>573</v>
      </c>
      <c r="I30" s="213">
        <f>ROUND(收入成本!AL31*1.1+收入成本!AJ31,2)</f>
        <v>603.24</v>
      </c>
      <c r="J30" s="213">
        <f t="shared" si="1"/>
        <v>829.73</v>
      </c>
      <c r="K30" s="213">
        <f t="shared" si="2"/>
        <v>689.46</v>
      </c>
      <c r="L30" s="213">
        <f t="shared" si="3"/>
        <v>799.49</v>
      </c>
      <c r="M30" s="213">
        <f t="shared" si="4"/>
        <v>659.22</v>
      </c>
    </row>
    <row r="31" spans="2:13">
      <c r="B31" s="212">
        <v>29</v>
      </c>
      <c r="C31" s="213">
        <f>还本付息!E33</f>
        <v>0</v>
      </c>
      <c r="D31" s="213">
        <f>还本付息!H33</f>
        <v>270</v>
      </c>
      <c r="E31" s="213">
        <f t="shared" si="0"/>
        <v>270</v>
      </c>
      <c r="F31" s="213">
        <f>ROUND(收入成本!Z32,2)</f>
        <v>1402.73</v>
      </c>
      <c r="G31" s="213">
        <f>ROUND(收入成本!Z32*0.9,2)</f>
        <v>1262.46</v>
      </c>
      <c r="H31" s="213">
        <f>ROUND(收入成本!AK32,2)</f>
        <v>573</v>
      </c>
      <c r="I31" s="213">
        <f>ROUND(收入成本!AL32*1.1+收入成本!AJ32,2)</f>
        <v>603.24</v>
      </c>
      <c r="J31" s="213">
        <f t="shared" si="1"/>
        <v>829.73</v>
      </c>
      <c r="K31" s="213">
        <f t="shared" si="2"/>
        <v>689.46</v>
      </c>
      <c r="L31" s="213">
        <f t="shared" si="3"/>
        <v>799.49</v>
      </c>
      <c r="M31" s="213">
        <f t="shared" si="4"/>
        <v>659.22</v>
      </c>
    </row>
    <row r="32" spans="2:13">
      <c r="B32" s="212">
        <v>30</v>
      </c>
      <c r="C32" s="213">
        <f>还本付息!E34</f>
        <v>9000</v>
      </c>
      <c r="D32" s="213">
        <f>还本付息!H34</f>
        <v>270</v>
      </c>
      <c r="E32" s="213">
        <f t="shared" si="0"/>
        <v>9270</v>
      </c>
      <c r="F32" s="213">
        <f>ROUND(收入成本!Z33,2)</f>
        <v>1402.73</v>
      </c>
      <c r="G32" s="213">
        <f>ROUND(收入成本!Z33*0.9,2)</f>
        <v>1262.46</v>
      </c>
      <c r="H32" s="213">
        <f>ROUND(收入成本!AK33,2)</f>
        <v>573</v>
      </c>
      <c r="I32" s="213">
        <f>ROUND(收入成本!AL33*1.1+收入成本!AJ33,2)</f>
        <v>603.24</v>
      </c>
      <c r="J32" s="213">
        <f t="shared" si="1"/>
        <v>829.73</v>
      </c>
      <c r="K32" s="213">
        <f t="shared" si="2"/>
        <v>689.46</v>
      </c>
      <c r="L32" s="213">
        <f t="shared" si="3"/>
        <v>799.49</v>
      </c>
      <c r="M32" s="213">
        <f t="shared" si="4"/>
        <v>659.22</v>
      </c>
    </row>
    <row r="33" hidden="1" spans="2:13">
      <c r="B33" s="212">
        <v>31</v>
      </c>
      <c r="C33" s="213">
        <f>还本付息!E35</f>
        <v>0</v>
      </c>
      <c r="D33" s="213">
        <f>还本付息!H35</f>
        <v>0</v>
      </c>
      <c r="E33" s="213">
        <f t="shared" si="0"/>
        <v>0</v>
      </c>
      <c r="F33" s="213">
        <f>ROUND(收入成本!Z34,2)</f>
        <v>0</v>
      </c>
      <c r="G33" s="213">
        <f>ROUND(收入成本!Z34*0.9,2)</f>
        <v>0</v>
      </c>
      <c r="H33" s="213">
        <f>ROUND(收入成本!AK34,2)</f>
        <v>0</v>
      </c>
      <c r="I33" s="213">
        <f>ROUND(收入成本!AK34*1.1,2)</f>
        <v>0</v>
      </c>
      <c r="J33" s="213">
        <f t="shared" si="1"/>
        <v>0</v>
      </c>
      <c r="K33" s="213">
        <f t="shared" si="2"/>
        <v>0</v>
      </c>
      <c r="L33" s="213">
        <f t="shared" si="3"/>
        <v>0</v>
      </c>
      <c r="M33" s="213">
        <f t="shared" si="4"/>
        <v>0</v>
      </c>
    </row>
    <row r="34" hidden="1" spans="2:5">
      <c r="B34" s="212">
        <v>32</v>
      </c>
      <c r="C34" s="213">
        <f>还本付息!E36</f>
        <v>0</v>
      </c>
      <c r="D34" s="213">
        <f>还本付息!H36</f>
        <v>0</v>
      </c>
      <c r="E34" s="213">
        <f t="shared" si="0"/>
        <v>0</v>
      </c>
    </row>
    <row r="35" hidden="1" spans="2:13">
      <c r="B35" s="212">
        <v>33</v>
      </c>
      <c r="C35" s="213">
        <f>还本付息!E37</f>
        <v>0</v>
      </c>
      <c r="D35" s="213">
        <f>还本付息!H37</f>
        <v>0</v>
      </c>
      <c r="E35" s="213">
        <f t="shared" si="0"/>
        <v>0</v>
      </c>
      <c r="F35" s="213">
        <f>ROUND(收入成本!Z35,2)</f>
        <v>0</v>
      </c>
      <c r="G35" s="213">
        <f>ROUND(收入成本!Z35*0.9,2)</f>
        <v>0</v>
      </c>
      <c r="H35" s="213">
        <f>ROUND(收入成本!AK35,2)</f>
        <v>0</v>
      </c>
      <c r="I35" s="213">
        <f>ROUND(收入成本!AK35*1.1,2)</f>
        <v>0</v>
      </c>
      <c r="J35" s="213">
        <f>F35-H35</f>
        <v>0</v>
      </c>
      <c r="K35" s="213">
        <f>G35-H35</f>
        <v>0</v>
      </c>
      <c r="L35" s="213">
        <f>F35-I35</f>
        <v>0</v>
      </c>
      <c r="M35" s="213">
        <f>G35-I35</f>
        <v>0</v>
      </c>
    </row>
    <row r="36" spans="2:13">
      <c r="B36" s="208" t="s">
        <v>189</v>
      </c>
      <c r="C36" s="214">
        <v>9000</v>
      </c>
      <c r="D36" s="215">
        <f t="shared" ref="D36:M36" si="5">SUM(D3:D35)</f>
        <v>8100</v>
      </c>
      <c r="E36" s="215">
        <f t="shared" si="5"/>
        <v>17100</v>
      </c>
      <c r="F36" s="215">
        <f t="shared" si="5"/>
        <v>34395.05</v>
      </c>
      <c r="G36" s="215">
        <f t="shared" si="5"/>
        <v>30955.56</v>
      </c>
      <c r="H36" s="215">
        <f t="shared" si="5"/>
        <v>12303.77</v>
      </c>
      <c r="I36" s="215">
        <f t="shared" si="5"/>
        <v>13025.41</v>
      </c>
      <c r="J36" s="215">
        <f t="shared" si="5"/>
        <v>22091.28</v>
      </c>
      <c r="K36" s="215">
        <f t="shared" si="5"/>
        <v>18651.79</v>
      </c>
      <c r="L36" s="215">
        <f t="shared" si="5"/>
        <v>21369.64</v>
      </c>
      <c r="M36" s="215">
        <f t="shared" si="5"/>
        <v>17930.15</v>
      </c>
    </row>
    <row r="37" spans="2:13">
      <c r="B37" s="209" t="s">
        <v>396</v>
      </c>
      <c r="C37" s="216"/>
      <c r="D37" s="216"/>
      <c r="E37" s="216"/>
      <c r="F37" s="216"/>
      <c r="G37" s="216"/>
      <c r="H37" s="217"/>
      <c r="I37" s="217"/>
      <c r="J37" s="215">
        <f>ROUND(J36/$E$36,2)</f>
        <v>1.29</v>
      </c>
      <c r="K37" s="208">
        <f>ROUND(K36/$E$36,2)</f>
        <v>1.09</v>
      </c>
      <c r="L37" s="208">
        <f>ROUND(L36/$E$36,2)</f>
        <v>1.25</v>
      </c>
      <c r="M37" s="208">
        <f>ROUND(M36/$E$36,2)</f>
        <v>1.05</v>
      </c>
    </row>
    <row r="38" spans="3:3">
      <c r="C38" s="218" t="s">
        <v>397</v>
      </c>
    </row>
  </sheetData>
  <mergeCells count="6">
    <mergeCell ref="C1:E1"/>
    <mergeCell ref="F1:G1"/>
    <mergeCell ref="H1:I1"/>
    <mergeCell ref="J1:M1"/>
    <mergeCell ref="B37:H37"/>
    <mergeCell ref="B1:B2"/>
  </mergeCells>
  <conditionalFormatting sqref="J37">
    <cfRule type="cellIs" dxfId="2" priority="2" operator="lessThan">
      <formula>1.31</formula>
    </cfRule>
  </conditionalFormatting>
  <conditionalFormatting sqref="K37:M37">
    <cfRule type="cellIs" dxfId="5" priority="1" operator="lessThan">
      <formula>1.01</formula>
    </cfRule>
  </conditionalFormatting>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7"/>
  <sheetViews>
    <sheetView zoomScale="70" zoomScaleNormal="70" workbookViewId="0">
      <selection activeCell="C3" sqref="C$1:C$1048576"/>
    </sheetView>
  </sheetViews>
  <sheetFormatPr defaultColWidth="9" defaultRowHeight="14"/>
  <cols>
    <col min="1" max="1" width="5.775" style="177" customWidth="1"/>
    <col min="2" max="2" width="11.5833333333333" style="178" customWidth="1"/>
    <col min="3" max="3" width="4.91666666666667" style="178" hidden="1" customWidth="1"/>
    <col min="4" max="4" width="12.1666666666667" style="178" customWidth="1"/>
    <col min="5" max="5" width="16.75" style="178" customWidth="1"/>
    <col min="6" max="6" width="10.6666666666667" style="178" customWidth="1"/>
    <col min="7" max="7" width="14.8916666666667" style="178" customWidth="1"/>
    <col min="8" max="9" width="9.44166666666667" style="178" customWidth="1"/>
    <col min="10" max="10" width="10.775" style="178" customWidth="1"/>
    <col min="11" max="11" width="10.3333333333333" style="178" customWidth="1"/>
    <col min="12" max="12" width="9.225" style="178" customWidth="1"/>
    <col min="13" max="13" width="7.225" style="178" customWidth="1"/>
    <col min="14" max="14" width="13.1083333333333" style="179" customWidth="1"/>
    <col min="15" max="15" width="13.1083333333333" style="178" customWidth="1"/>
    <col min="16" max="16" width="6.55833333333333" style="178" customWidth="1"/>
    <col min="17" max="17" width="16.1083333333333" style="178" customWidth="1"/>
    <col min="18" max="18" width="11.6666666666667" style="178" customWidth="1"/>
    <col min="19" max="19" width="5.775" style="178" customWidth="1"/>
    <col min="20" max="20" width="8.55833333333333" style="178" customWidth="1"/>
    <col min="21" max="21" width="26.225" style="177" customWidth="1"/>
    <col min="22" max="257" width="8.89166666666667" style="177"/>
    <col min="258" max="258" width="5.775" style="177" customWidth="1"/>
    <col min="259" max="259" width="21.5583333333333" style="177" customWidth="1"/>
    <col min="260" max="260" width="20.4416666666667" style="177" customWidth="1"/>
    <col min="261" max="261" width="19.225" style="177" customWidth="1"/>
    <col min="262" max="262" width="16.8916666666667" style="177" customWidth="1"/>
    <col min="263" max="263" width="22.6666666666667" style="177" customWidth="1"/>
    <col min="264" max="264" width="12.3333333333333" style="177" customWidth="1"/>
    <col min="265" max="265" width="12.225" style="177" customWidth="1"/>
    <col min="266" max="266" width="9.89166666666667" style="177" customWidth="1"/>
    <col min="267" max="267" width="11.225" style="177" customWidth="1"/>
    <col min="268" max="268" width="10.4416666666667" style="177" customWidth="1"/>
    <col min="269" max="269" width="12.775" style="177" customWidth="1"/>
    <col min="270" max="270" width="11.1083333333333" style="177" customWidth="1"/>
    <col min="271" max="271" width="10.4416666666667" style="177" customWidth="1"/>
    <col min="272" max="272" width="8.89166666666667" style="177"/>
    <col min="273" max="273" width="17.6666666666667" style="177" customWidth="1"/>
    <col min="274" max="274" width="12.6666666666667" style="177" customWidth="1"/>
    <col min="275" max="275" width="8.89166666666667" style="177"/>
    <col min="276" max="276" width="10.4416666666667" style="177" customWidth="1"/>
    <col min="277" max="277" width="12.6666666666667" style="177" customWidth="1"/>
    <col min="278" max="513" width="8.89166666666667" style="177"/>
    <col min="514" max="514" width="5.775" style="177" customWidth="1"/>
    <col min="515" max="515" width="21.5583333333333" style="177" customWidth="1"/>
    <col min="516" max="516" width="20.4416666666667" style="177" customWidth="1"/>
    <col min="517" max="517" width="19.225" style="177" customWidth="1"/>
    <col min="518" max="518" width="16.8916666666667" style="177" customWidth="1"/>
    <col min="519" max="519" width="22.6666666666667" style="177" customWidth="1"/>
    <col min="520" max="520" width="12.3333333333333" style="177" customWidth="1"/>
    <col min="521" max="521" width="12.225" style="177" customWidth="1"/>
    <col min="522" max="522" width="9.89166666666667" style="177" customWidth="1"/>
    <col min="523" max="523" width="11.225" style="177" customWidth="1"/>
    <col min="524" max="524" width="10.4416666666667" style="177" customWidth="1"/>
    <col min="525" max="525" width="12.775" style="177" customWidth="1"/>
    <col min="526" max="526" width="11.1083333333333" style="177" customWidth="1"/>
    <col min="527" max="527" width="10.4416666666667" style="177" customWidth="1"/>
    <col min="528" max="528" width="8.89166666666667" style="177"/>
    <col min="529" max="529" width="17.6666666666667" style="177" customWidth="1"/>
    <col min="530" max="530" width="12.6666666666667" style="177" customWidth="1"/>
    <col min="531" max="531" width="8.89166666666667" style="177"/>
    <col min="532" max="532" width="10.4416666666667" style="177" customWidth="1"/>
    <col min="533" max="533" width="12.6666666666667" style="177" customWidth="1"/>
    <col min="534" max="769" width="8.89166666666667" style="177"/>
    <col min="770" max="770" width="5.775" style="177" customWidth="1"/>
    <col min="771" max="771" width="21.5583333333333" style="177" customWidth="1"/>
    <col min="772" max="772" width="20.4416666666667" style="177" customWidth="1"/>
    <col min="773" max="773" width="19.225" style="177" customWidth="1"/>
    <col min="774" max="774" width="16.8916666666667" style="177" customWidth="1"/>
    <col min="775" max="775" width="22.6666666666667" style="177" customWidth="1"/>
    <col min="776" max="776" width="12.3333333333333" style="177" customWidth="1"/>
    <col min="777" max="777" width="12.225" style="177" customWidth="1"/>
    <col min="778" max="778" width="9.89166666666667" style="177" customWidth="1"/>
    <col min="779" max="779" width="11.225" style="177" customWidth="1"/>
    <col min="780" max="780" width="10.4416666666667" style="177" customWidth="1"/>
    <col min="781" max="781" width="12.775" style="177" customWidth="1"/>
    <col min="782" max="782" width="11.1083333333333" style="177" customWidth="1"/>
    <col min="783" max="783" width="10.4416666666667" style="177" customWidth="1"/>
    <col min="784" max="784" width="8.89166666666667" style="177"/>
    <col min="785" max="785" width="17.6666666666667" style="177" customWidth="1"/>
    <col min="786" max="786" width="12.6666666666667" style="177" customWidth="1"/>
    <col min="787" max="787" width="8.89166666666667" style="177"/>
    <col min="788" max="788" width="10.4416666666667" style="177" customWidth="1"/>
    <col min="789" max="789" width="12.6666666666667" style="177" customWidth="1"/>
    <col min="790" max="1025" width="8.89166666666667" style="177"/>
    <col min="1026" max="1026" width="5.775" style="177" customWidth="1"/>
    <col min="1027" max="1027" width="21.5583333333333" style="177" customWidth="1"/>
    <col min="1028" max="1028" width="20.4416666666667" style="177" customWidth="1"/>
    <col min="1029" max="1029" width="19.225" style="177" customWidth="1"/>
    <col min="1030" max="1030" width="16.8916666666667" style="177" customWidth="1"/>
    <col min="1031" max="1031" width="22.6666666666667" style="177" customWidth="1"/>
    <col min="1032" max="1032" width="12.3333333333333" style="177" customWidth="1"/>
    <col min="1033" max="1033" width="12.225" style="177" customWidth="1"/>
    <col min="1034" max="1034" width="9.89166666666667" style="177" customWidth="1"/>
    <col min="1035" max="1035" width="11.225" style="177" customWidth="1"/>
    <col min="1036" max="1036" width="10.4416666666667" style="177" customWidth="1"/>
    <col min="1037" max="1037" width="12.775" style="177" customWidth="1"/>
    <col min="1038" max="1038" width="11.1083333333333" style="177" customWidth="1"/>
    <col min="1039" max="1039" width="10.4416666666667" style="177" customWidth="1"/>
    <col min="1040" max="1040" width="8.89166666666667" style="177"/>
    <col min="1041" max="1041" width="17.6666666666667" style="177" customWidth="1"/>
    <col min="1042" max="1042" width="12.6666666666667" style="177" customWidth="1"/>
    <col min="1043" max="1043" width="8.89166666666667" style="177"/>
    <col min="1044" max="1044" width="10.4416666666667" style="177" customWidth="1"/>
    <col min="1045" max="1045" width="12.6666666666667" style="177" customWidth="1"/>
    <col min="1046" max="1281" width="8.89166666666667" style="177"/>
    <col min="1282" max="1282" width="5.775" style="177" customWidth="1"/>
    <col min="1283" max="1283" width="21.5583333333333" style="177" customWidth="1"/>
    <col min="1284" max="1284" width="20.4416666666667" style="177" customWidth="1"/>
    <col min="1285" max="1285" width="19.225" style="177" customWidth="1"/>
    <col min="1286" max="1286" width="16.8916666666667" style="177" customWidth="1"/>
    <col min="1287" max="1287" width="22.6666666666667" style="177" customWidth="1"/>
    <col min="1288" max="1288" width="12.3333333333333" style="177" customWidth="1"/>
    <col min="1289" max="1289" width="12.225" style="177" customWidth="1"/>
    <col min="1290" max="1290" width="9.89166666666667" style="177" customWidth="1"/>
    <col min="1291" max="1291" width="11.225" style="177" customWidth="1"/>
    <col min="1292" max="1292" width="10.4416666666667" style="177" customWidth="1"/>
    <col min="1293" max="1293" width="12.775" style="177" customWidth="1"/>
    <col min="1294" max="1294" width="11.1083333333333" style="177" customWidth="1"/>
    <col min="1295" max="1295" width="10.4416666666667" style="177" customWidth="1"/>
    <col min="1296" max="1296" width="8.89166666666667" style="177"/>
    <col min="1297" max="1297" width="17.6666666666667" style="177" customWidth="1"/>
    <col min="1298" max="1298" width="12.6666666666667" style="177" customWidth="1"/>
    <col min="1299" max="1299" width="8.89166666666667" style="177"/>
    <col min="1300" max="1300" width="10.4416666666667" style="177" customWidth="1"/>
    <col min="1301" max="1301" width="12.6666666666667" style="177" customWidth="1"/>
    <col min="1302" max="1537" width="8.89166666666667" style="177"/>
    <col min="1538" max="1538" width="5.775" style="177" customWidth="1"/>
    <col min="1539" max="1539" width="21.5583333333333" style="177" customWidth="1"/>
    <col min="1540" max="1540" width="20.4416666666667" style="177" customWidth="1"/>
    <col min="1541" max="1541" width="19.225" style="177" customWidth="1"/>
    <col min="1542" max="1542" width="16.8916666666667" style="177" customWidth="1"/>
    <col min="1543" max="1543" width="22.6666666666667" style="177" customWidth="1"/>
    <col min="1544" max="1544" width="12.3333333333333" style="177" customWidth="1"/>
    <col min="1545" max="1545" width="12.225" style="177" customWidth="1"/>
    <col min="1546" max="1546" width="9.89166666666667" style="177" customWidth="1"/>
    <col min="1547" max="1547" width="11.225" style="177" customWidth="1"/>
    <col min="1548" max="1548" width="10.4416666666667" style="177" customWidth="1"/>
    <col min="1549" max="1549" width="12.775" style="177" customWidth="1"/>
    <col min="1550" max="1550" width="11.1083333333333" style="177" customWidth="1"/>
    <col min="1551" max="1551" width="10.4416666666667" style="177" customWidth="1"/>
    <col min="1552" max="1552" width="8.89166666666667" style="177"/>
    <col min="1553" max="1553" width="17.6666666666667" style="177" customWidth="1"/>
    <col min="1554" max="1554" width="12.6666666666667" style="177" customWidth="1"/>
    <col min="1555" max="1555" width="8.89166666666667" style="177"/>
    <col min="1556" max="1556" width="10.4416666666667" style="177" customWidth="1"/>
    <col min="1557" max="1557" width="12.6666666666667" style="177" customWidth="1"/>
    <col min="1558" max="1793" width="8.89166666666667" style="177"/>
    <col min="1794" max="1794" width="5.775" style="177" customWidth="1"/>
    <col min="1795" max="1795" width="21.5583333333333" style="177" customWidth="1"/>
    <col min="1796" max="1796" width="20.4416666666667" style="177" customWidth="1"/>
    <col min="1797" max="1797" width="19.225" style="177" customWidth="1"/>
    <col min="1798" max="1798" width="16.8916666666667" style="177" customWidth="1"/>
    <col min="1799" max="1799" width="22.6666666666667" style="177" customWidth="1"/>
    <col min="1800" max="1800" width="12.3333333333333" style="177" customWidth="1"/>
    <col min="1801" max="1801" width="12.225" style="177" customWidth="1"/>
    <col min="1802" max="1802" width="9.89166666666667" style="177" customWidth="1"/>
    <col min="1803" max="1803" width="11.225" style="177" customWidth="1"/>
    <col min="1804" max="1804" width="10.4416666666667" style="177" customWidth="1"/>
    <col min="1805" max="1805" width="12.775" style="177" customWidth="1"/>
    <col min="1806" max="1806" width="11.1083333333333" style="177" customWidth="1"/>
    <col min="1807" max="1807" width="10.4416666666667" style="177" customWidth="1"/>
    <col min="1808" max="1808" width="8.89166666666667" style="177"/>
    <col min="1809" max="1809" width="17.6666666666667" style="177" customWidth="1"/>
    <col min="1810" max="1810" width="12.6666666666667" style="177" customWidth="1"/>
    <col min="1811" max="1811" width="8.89166666666667" style="177"/>
    <col min="1812" max="1812" width="10.4416666666667" style="177" customWidth="1"/>
    <col min="1813" max="1813" width="12.6666666666667" style="177" customWidth="1"/>
    <col min="1814" max="2049" width="8.89166666666667" style="177"/>
    <col min="2050" max="2050" width="5.775" style="177" customWidth="1"/>
    <col min="2051" max="2051" width="21.5583333333333" style="177" customWidth="1"/>
    <col min="2052" max="2052" width="20.4416666666667" style="177" customWidth="1"/>
    <col min="2053" max="2053" width="19.225" style="177" customWidth="1"/>
    <col min="2054" max="2054" width="16.8916666666667" style="177" customWidth="1"/>
    <col min="2055" max="2055" width="22.6666666666667" style="177" customWidth="1"/>
    <col min="2056" max="2056" width="12.3333333333333" style="177" customWidth="1"/>
    <col min="2057" max="2057" width="12.225" style="177" customWidth="1"/>
    <col min="2058" max="2058" width="9.89166666666667" style="177" customWidth="1"/>
    <col min="2059" max="2059" width="11.225" style="177" customWidth="1"/>
    <col min="2060" max="2060" width="10.4416666666667" style="177" customWidth="1"/>
    <col min="2061" max="2061" width="12.775" style="177" customWidth="1"/>
    <col min="2062" max="2062" width="11.1083333333333" style="177" customWidth="1"/>
    <col min="2063" max="2063" width="10.4416666666667" style="177" customWidth="1"/>
    <col min="2064" max="2064" width="8.89166666666667" style="177"/>
    <col min="2065" max="2065" width="17.6666666666667" style="177" customWidth="1"/>
    <col min="2066" max="2066" width="12.6666666666667" style="177" customWidth="1"/>
    <col min="2067" max="2067" width="8.89166666666667" style="177"/>
    <col min="2068" max="2068" width="10.4416666666667" style="177" customWidth="1"/>
    <col min="2069" max="2069" width="12.6666666666667" style="177" customWidth="1"/>
    <col min="2070" max="2305" width="8.89166666666667" style="177"/>
    <col min="2306" max="2306" width="5.775" style="177" customWidth="1"/>
    <col min="2307" max="2307" width="21.5583333333333" style="177" customWidth="1"/>
    <col min="2308" max="2308" width="20.4416666666667" style="177" customWidth="1"/>
    <col min="2309" max="2309" width="19.225" style="177" customWidth="1"/>
    <col min="2310" max="2310" width="16.8916666666667" style="177" customWidth="1"/>
    <col min="2311" max="2311" width="22.6666666666667" style="177" customWidth="1"/>
    <col min="2312" max="2312" width="12.3333333333333" style="177" customWidth="1"/>
    <col min="2313" max="2313" width="12.225" style="177" customWidth="1"/>
    <col min="2314" max="2314" width="9.89166666666667" style="177" customWidth="1"/>
    <col min="2315" max="2315" width="11.225" style="177" customWidth="1"/>
    <col min="2316" max="2316" width="10.4416666666667" style="177" customWidth="1"/>
    <col min="2317" max="2317" width="12.775" style="177" customWidth="1"/>
    <col min="2318" max="2318" width="11.1083333333333" style="177" customWidth="1"/>
    <col min="2319" max="2319" width="10.4416666666667" style="177" customWidth="1"/>
    <col min="2320" max="2320" width="8.89166666666667" style="177"/>
    <col min="2321" max="2321" width="17.6666666666667" style="177" customWidth="1"/>
    <col min="2322" max="2322" width="12.6666666666667" style="177" customWidth="1"/>
    <col min="2323" max="2323" width="8.89166666666667" style="177"/>
    <col min="2324" max="2324" width="10.4416666666667" style="177" customWidth="1"/>
    <col min="2325" max="2325" width="12.6666666666667" style="177" customWidth="1"/>
    <col min="2326" max="2561" width="8.89166666666667" style="177"/>
    <col min="2562" max="2562" width="5.775" style="177" customWidth="1"/>
    <col min="2563" max="2563" width="21.5583333333333" style="177" customWidth="1"/>
    <col min="2564" max="2564" width="20.4416666666667" style="177" customWidth="1"/>
    <col min="2565" max="2565" width="19.225" style="177" customWidth="1"/>
    <col min="2566" max="2566" width="16.8916666666667" style="177" customWidth="1"/>
    <col min="2567" max="2567" width="22.6666666666667" style="177" customWidth="1"/>
    <col min="2568" max="2568" width="12.3333333333333" style="177" customWidth="1"/>
    <col min="2569" max="2569" width="12.225" style="177" customWidth="1"/>
    <col min="2570" max="2570" width="9.89166666666667" style="177" customWidth="1"/>
    <col min="2571" max="2571" width="11.225" style="177" customWidth="1"/>
    <col min="2572" max="2572" width="10.4416666666667" style="177" customWidth="1"/>
    <col min="2573" max="2573" width="12.775" style="177" customWidth="1"/>
    <col min="2574" max="2574" width="11.1083333333333" style="177" customWidth="1"/>
    <col min="2575" max="2575" width="10.4416666666667" style="177" customWidth="1"/>
    <col min="2576" max="2576" width="8.89166666666667" style="177"/>
    <col min="2577" max="2577" width="17.6666666666667" style="177" customWidth="1"/>
    <col min="2578" max="2578" width="12.6666666666667" style="177" customWidth="1"/>
    <col min="2579" max="2579" width="8.89166666666667" style="177"/>
    <col min="2580" max="2580" width="10.4416666666667" style="177" customWidth="1"/>
    <col min="2581" max="2581" width="12.6666666666667" style="177" customWidth="1"/>
    <col min="2582" max="2817" width="8.89166666666667" style="177"/>
    <col min="2818" max="2818" width="5.775" style="177" customWidth="1"/>
    <col min="2819" max="2819" width="21.5583333333333" style="177" customWidth="1"/>
    <col min="2820" max="2820" width="20.4416666666667" style="177" customWidth="1"/>
    <col min="2821" max="2821" width="19.225" style="177" customWidth="1"/>
    <col min="2822" max="2822" width="16.8916666666667" style="177" customWidth="1"/>
    <col min="2823" max="2823" width="22.6666666666667" style="177" customWidth="1"/>
    <col min="2824" max="2824" width="12.3333333333333" style="177" customWidth="1"/>
    <col min="2825" max="2825" width="12.225" style="177" customWidth="1"/>
    <col min="2826" max="2826" width="9.89166666666667" style="177" customWidth="1"/>
    <col min="2827" max="2827" width="11.225" style="177" customWidth="1"/>
    <col min="2828" max="2828" width="10.4416666666667" style="177" customWidth="1"/>
    <col min="2829" max="2829" width="12.775" style="177" customWidth="1"/>
    <col min="2830" max="2830" width="11.1083333333333" style="177" customWidth="1"/>
    <col min="2831" max="2831" width="10.4416666666667" style="177" customWidth="1"/>
    <col min="2832" max="2832" width="8.89166666666667" style="177"/>
    <col min="2833" max="2833" width="17.6666666666667" style="177" customWidth="1"/>
    <col min="2834" max="2834" width="12.6666666666667" style="177" customWidth="1"/>
    <col min="2835" max="2835" width="8.89166666666667" style="177"/>
    <col min="2836" max="2836" width="10.4416666666667" style="177" customWidth="1"/>
    <col min="2837" max="2837" width="12.6666666666667" style="177" customWidth="1"/>
    <col min="2838" max="3073" width="8.89166666666667" style="177"/>
    <col min="3074" max="3074" width="5.775" style="177" customWidth="1"/>
    <col min="3075" max="3075" width="21.5583333333333" style="177" customWidth="1"/>
    <col min="3076" max="3076" width="20.4416666666667" style="177" customWidth="1"/>
    <col min="3077" max="3077" width="19.225" style="177" customWidth="1"/>
    <col min="3078" max="3078" width="16.8916666666667" style="177" customWidth="1"/>
    <col min="3079" max="3079" width="22.6666666666667" style="177" customWidth="1"/>
    <col min="3080" max="3080" width="12.3333333333333" style="177" customWidth="1"/>
    <col min="3081" max="3081" width="12.225" style="177" customWidth="1"/>
    <col min="3082" max="3082" width="9.89166666666667" style="177" customWidth="1"/>
    <col min="3083" max="3083" width="11.225" style="177" customWidth="1"/>
    <col min="3084" max="3084" width="10.4416666666667" style="177" customWidth="1"/>
    <col min="3085" max="3085" width="12.775" style="177" customWidth="1"/>
    <col min="3086" max="3086" width="11.1083333333333" style="177" customWidth="1"/>
    <col min="3087" max="3087" width="10.4416666666667" style="177" customWidth="1"/>
    <col min="3088" max="3088" width="8.89166666666667" style="177"/>
    <col min="3089" max="3089" width="17.6666666666667" style="177" customWidth="1"/>
    <col min="3090" max="3090" width="12.6666666666667" style="177" customWidth="1"/>
    <col min="3091" max="3091" width="8.89166666666667" style="177"/>
    <col min="3092" max="3092" width="10.4416666666667" style="177" customWidth="1"/>
    <col min="3093" max="3093" width="12.6666666666667" style="177" customWidth="1"/>
    <col min="3094" max="3329" width="8.89166666666667" style="177"/>
    <col min="3330" max="3330" width="5.775" style="177" customWidth="1"/>
    <col min="3331" max="3331" width="21.5583333333333" style="177" customWidth="1"/>
    <col min="3332" max="3332" width="20.4416666666667" style="177" customWidth="1"/>
    <col min="3333" max="3333" width="19.225" style="177" customWidth="1"/>
    <col min="3334" max="3334" width="16.8916666666667" style="177" customWidth="1"/>
    <col min="3335" max="3335" width="22.6666666666667" style="177" customWidth="1"/>
    <col min="3336" max="3336" width="12.3333333333333" style="177" customWidth="1"/>
    <col min="3337" max="3337" width="12.225" style="177" customWidth="1"/>
    <col min="3338" max="3338" width="9.89166666666667" style="177" customWidth="1"/>
    <col min="3339" max="3339" width="11.225" style="177" customWidth="1"/>
    <col min="3340" max="3340" width="10.4416666666667" style="177" customWidth="1"/>
    <col min="3341" max="3341" width="12.775" style="177" customWidth="1"/>
    <col min="3342" max="3342" width="11.1083333333333" style="177" customWidth="1"/>
    <col min="3343" max="3343" width="10.4416666666667" style="177" customWidth="1"/>
    <col min="3344" max="3344" width="8.89166666666667" style="177"/>
    <col min="3345" max="3345" width="17.6666666666667" style="177" customWidth="1"/>
    <col min="3346" max="3346" width="12.6666666666667" style="177" customWidth="1"/>
    <col min="3347" max="3347" width="8.89166666666667" style="177"/>
    <col min="3348" max="3348" width="10.4416666666667" style="177" customWidth="1"/>
    <col min="3349" max="3349" width="12.6666666666667" style="177" customWidth="1"/>
    <col min="3350" max="3585" width="8.89166666666667" style="177"/>
    <col min="3586" max="3586" width="5.775" style="177" customWidth="1"/>
    <col min="3587" max="3587" width="21.5583333333333" style="177" customWidth="1"/>
    <col min="3588" max="3588" width="20.4416666666667" style="177" customWidth="1"/>
    <col min="3589" max="3589" width="19.225" style="177" customWidth="1"/>
    <col min="3590" max="3590" width="16.8916666666667" style="177" customWidth="1"/>
    <col min="3591" max="3591" width="22.6666666666667" style="177" customWidth="1"/>
    <col min="3592" max="3592" width="12.3333333333333" style="177" customWidth="1"/>
    <col min="3593" max="3593" width="12.225" style="177" customWidth="1"/>
    <col min="3594" max="3594" width="9.89166666666667" style="177" customWidth="1"/>
    <col min="3595" max="3595" width="11.225" style="177" customWidth="1"/>
    <col min="3596" max="3596" width="10.4416666666667" style="177" customWidth="1"/>
    <col min="3597" max="3597" width="12.775" style="177" customWidth="1"/>
    <col min="3598" max="3598" width="11.1083333333333" style="177" customWidth="1"/>
    <col min="3599" max="3599" width="10.4416666666667" style="177" customWidth="1"/>
    <col min="3600" max="3600" width="8.89166666666667" style="177"/>
    <col min="3601" max="3601" width="17.6666666666667" style="177" customWidth="1"/>
    <col min="3602" max="3602" width="12.6666666666667" style="177" customWidth="1"/>
    <col min="3603" max="3603" width="8.89166666666667" style="177"/>
    <col min="3604" max="3604" width="10.4416666666667" style="177" customWidth="1"/>
    <col min="3605" max="3605" width="12.6666666666667" style="177" customWidth="1"/>
    <col min="3606" max="3841" width="8.89166666666667" style="177"/>
    <col min="3842" max="3842" width="5.775" style="177" customWidth="1"/>
    <col min="3843" max="3843" width="21.5583333333333" style="177" customWidth="1"/>
    <col min="3844" max="3844" width="20.4416666666667" style="177" customWidth="1"/>
    <col min="3845" max="3845" width="19.225" style="177" customWidth="1"/>
    <col min="3846" max="3846" width="16.8916666666667" style="177" customWidth="1"/>
    <col min="3847" max="3847" width="22.6666666666667" style="177" customWidth="1"/>
    <col min="3848" max="3848" width="12.3333333333333" style="177" customWidth="1"/>
    <col min="3849" max="3849" width="12.225" style="177" customWidth="1"/>
    <col min="3850" max="3850" width="9.89166666666667" style="177" customWidth="1"/>
    <col min="3851" max="3851" width="11.225" style="177" customWidth="1"/>
    <col min="3852" max="3852" width="10.4416666666667" style="177" customWidth="1"/>
    <col min="3853" max="3853" width="12.775" style="177" customWidth="1"/>
    <col min="3854" max="3854" width="11.1083333333333" style="177" customWidth="1"/>
    <col min="3855" max="3855" width="10.4416666666667" style="177" customWidth="1"/>
    <col min="3856" max="3856" width="8.89166666666667" style="177"/>
    <col min="3857" max="3857" width="17.6666666666667" style="177" customWidth="1"/>
    <col min="3858" max="3858" width="12.6666666666667" style="177" customWidth="1"/>
    <col min="3859" max="3859" width="8.89166666666667" style="177"/>
    <col min="3860" max="3860" width="10.4416666666667" style="177" customWidth="1"/>
    <col min="3861" max="3861" width="12.6666666666667" style="177" customWidth="1"/>
    <col min="3862" max="4097" width="8.89166666666667" style="177"/>
    <col min="4098" max="4098" width="5.775" style="177" customWidth="1"/>
    <col min="4099" max="4099" width="21.5583333333333" style="177" customWidth="1"/>
    <col min="4100" max="4100" width="20.4416666666667" style="177" customWidth="1"/>
    <col min="4101" max="4101" width="19.225" style="177" customWidth="1"/>
    <col min="4102" max="4102" width="16.8916666666667" style="177" customWidth="1"/>
    <col min="4103" max="4103" width="22.6666666666667" style="177" customWidth="1"/>
    <col min="4104" max="4104" width="12.3333333333333" style="177" customWidth="1"/>
    <col min="4105" max="4105" width="12.225" style="177" customWidth="1"/>
    <col min="4106" max="4106" width="9.89166666666667" style="177" customWidth="1"/>
    <col min="4107" max="4107" width="11.225" style="177" customWidth="1"/>
    <col min="4108" max="4108" width="10.4416666666667" style="177" customWidth="1"/>
    <col min="4109" max="4109" width="12.775" style="177" customWidth="1"/>
    <col min="4110" max="4110" width="11.1083333333333" style="177" customWidth="1"/>
    <col min="4111" max="4111" width="10.4416666666667" style="177" customWidth="1"/>
    <col min="4112" max="4112" width="8.89166666666667" style="177"/>
    <col min="4113" max="4113" width="17.6666666666667" style="177" customWidth="1"/>
    <col min="4114" max="4114" width="12.6666666666667" style="177" customWidth="1"/>
    <col min="4115" max="4115" width="8.89166666666667" style="177"/>
    <col min="4116" max="4116" width="10.4416666666667" style="177" customWidth="1"/>
    <col min="4117" max="4117" width="12.6666666666667" style="177" customWidth="1"/>
    <col min="4118" max="4353" width="8.89166666666667" style="177"/>
    <col min="4354" max="4354" width="5.775" style="177" customWidth="1"/>
    <col min="4355" max="4355" width="21.5583333333333" style="177" customWidth="1"/>
    <col min="4356" max="4356" width="20.4416666666667" style="177" customWidth="1"/>
    <col min="4357" max="4357" width="19.225" style="177" customWidth="1"/>
    <col min="4358" max="4358" width="16.8916666666667" style="177" customWidth="1"/>
    <col min="4359" max="4359" width="22.6666666666667" style="177" customWidth="1"/>
    <col min="4360" max="4360" width="12.3333333333333" style="177" customWidth="1"/>
    <col min="4361" max="4361" width="12.225" style="177" customWidth="1"/>
    <col min="4362" max="4362" width="9.89166666666667" style="177" customWidth="1"/>
    <col min="4363" max="4363" width="11.225" style="177" customWidth="1"/>
    <col min="4364" max="4364" width="10.4416666666667" style="177" customWidth="1"/>
    <col min="4365" max="4365" width="12.775" style="177" customWidth="1"/>
    <col min="4366" max="4366" width="11.1083333333333" style="177" customWidth="1"/>
    <col min="4367" max="4367" width="10.4416666666667" style="177" customWidth="1"/>
    <col min="4368" max="4368" width="8.89166666666667" style="177"/>
    <col min="4369" max="4369" width="17.6666666666667" style="177" customWidth="1"/>
    <col min="4370" max="4370" width="12.6666666666667" style="177" customWidth="1"/>
    <col min="4371" max="4371" width="8.89166666666667" style="177"/>
    <col min="4372" max="4372" width="10.4416666666667" style="177" customWidth="1"/>
    <col min="4373" max="4373" width="12.6666666666667" style="177" customWidth="1"/>
    <col min="4374" max="4609" width="8.89166666666667" style="177"/>
    <col min="4610" max="4610" width="5.775" style="177" customWidth="1"/>
    <col min="4611" max="4611" width="21.5583333333333" style="177" customWidth="1"/>
    <col min="4612" max="4612" width="20.4416666666667" style="177" customWidth="1"/>
    <col min="4613" max="4613" width="19.225" style="177" customWidth="1"/>
    <col min="4614" max="4614" width="16.8916666666667" style="177" customWidth="1"/>
    <col min="4615" max="4615" width="22.6666666666667" style="177" customWidth="1"/>
    <col min="4616" max="4616" width="12.3333333333333" style="177" customWidth="1"/>
    <col min="4617" max="4617" width="12.225" style="177" customWidth="1"/>
    <col min="4618" max="4618" width="9.89166666666667" style="177" customWidth="1"/>
    <col min="4619" max="4619" width="11.225" style="177" customWidth="1"/>
    <col min="4620" max="4620" width="10.4416666666667" style="177" customWidth="1"/>
    <col min="4621" max="4621" width="12.775" style="177" customWidth="1"/>
    <col min="4622" max="4622" width="11.1083333333333" style="177" customWidth="1"/>
    <col min="4623" max="4623" width="10.4416666666667" style="177" customWidth="1"/>
    <col min="4624" max="4624" width="8.89166666666667" style="177"/>
    <col min="4625" max="4625" width="17.6666666666667" style="177" customWidth="1"/>
    <col min="4626" max="4626" width="12.6666666666667" style="177" customWidth="1"/>
    <col min="4627" max="4627" width="8.89166666666667" style="177"/>
    <col min="4628" max="4628" width="10.4416666666667" style="177" customWidth="1"/>
    <col min="4629" max="4629" width="12.6666666666667" style="177" customWidth="1"/>
    <col min="4630" max="4865" width="8.89166666666667" style="177"/>
    <col min="4866" max="4866" width="5.775" style="177" customWidth="1"/>
    <col min="4867" max="4867" width="21.5583333333333" style="177" customWidth="1"/>
    <col min="4868" max="4868" width="20.4416666666667" style="177" customWidth="1"/>
    <col min="4869" max="4869" width="19.225" style="177" customWidth="1"/>
    <col min="4870" max="4870" width="16.8916666666667" style="177" customWidth="1"/>
    <col min="4871" max="4871" width="22.6666666666667" style="177" customWidth="1"/>
    <col min="4872" max="4872" width="12.3333333333333" style="177" customWidth="1"/>
    <col min="4873" max="4873" width="12.225" style="177" customWidth="1"/>
    <col min="4874" max="4874" width="9.89166666666667" style="177" customWidth="1"/>
    <col min="4875" max="4875" width="11.225" style="177" customWidth="1"/>
    <col min="4876" max="4876" width="10.4416666666667" style="177" customWidth="1"/>
    <col min="4877" max="4877" width="12.775" style="177" customWidth="1"/>
    <col min="4878" max="4878" width="11.1083333333333" style="177" customWidth="1"/>
    <col min="4879" max="4879" width="10.4416666666667" style="177" customWidth="1"/>
    <col min="4880" max="4880" width="8.89166666666667" style="177"/>
    <col min="4881" max="4881" width="17.6666666666667" style="177" customWidth="1"/>
    <col min="4882" max="4882" width="12.6666666666667" style="177" customWidth="1"/>
    <col min="4883" max="4883" width="8.89166666666667" style="177"/>
    <col min="4884" max="4884" width="10.4416666666667" style="177" customWidth="1"/>
    <col min="4885" max="4885" width="12.6666666666667" style="177" customWidth="1"/>
    <col min="4886" max="5121" width="8.89166666666667" style="177"/>
    <col min="5122" max="5122" width="5.775" style="177" customWidth="1"/>
    <col min="5123" max="5123" width="21.5583333333333" style="177" customWidth="1"/>
    <col min="5124" max="5124" width="20.4416666666667" style="177" customWidth="1"/>
    <col min="5125" max="5125" width="19.225" style="177" customWidth="1"/>
    <col min="5126" max="5126" width="16.8916666666667" style="177" customWidth="1"/>
    <col min="5127" max="5127" width="22.6666666666667" style="177" customWidth="1"/>
    <col min="5128" max="5128" width="12.3333333333333" style="177" customWidth="1"/>
    <col min="5129" max="5129" width="12.225" style="177" customWidth="1"/>
    <col min="5130" max="5130" width="9.89166666666667" style="177" customWidth="1"/>
    <col min="5131" max="5131" width="11.225" style="177" customWidth="1"/>
    <col min="5132" max="5132" width="10.4416666666667" style="177" customWidth="1"/>
    <col min="5133" max="5133" width="12.775" style="177" customWidth="1"/>
    <col min="5134" max="5134" width="11.1083333333333" style="177" customWidth="1"/>
    <col min="5135" max="5135" width="10.4416666666667" style="177" customWidth="1"/>
    <col min="5136" max="5136" width="8.89166666666667" style="177"/>
    <col min="5137" max="5137" width="17.6666666666667" style="177" customWidth="1"/>
    <col min="5138" max="5138" width="12.6666666666667" style="177" customWidth="1"/>
    <col min="5139" max="5139" width="8.89166666666667" style="177"/>
    <col min="5140" max="5140" width="10.4416666666667" style="177" customWidth="1"/>
    <col min="5141" max="5141" width="12.6666666666667" style="177" customWidth="1"/>
    <col min="5142" max="5377" width="8.89166666666667" style="177"/>
    <col min="5378" max="5378" width="5.775" style="177" customWidth="1"/>
    <col min="5379" max="5379" width="21.5583333333333" style="177" customWidth="1"/>
    <col min="5380" max="5380" width="20.4416666666667" style="177" customWidth="1"/>
    <col min="5381" max="5381" width="19.225" style="177" customWidth="1"/>
    <col min="5382" max="5382" width="16.8916666666667" style="177" customWidth="1"/>
    <col min="5383" max="5383" width="22.6666666666667" style="177" customWidth="1"/>
    <col min="5384" max="5384" width="12.3333333333333" style="177" customWidth="1"/>
    <col min="5385" max="5385" width="12.225" style="177" customWidth="1"/>
    <col min="5386" max="5386" width="9.89166666666667" style="177" customWidth="1"/>
    <col min="5387" max="5387" width="11.225" style="177" customWidth="1"/>
    <col min="5388" max="5388" width="10.4416666666667" style="177" customWidth="1"/>
    <col min="5389" max="5389" width="12.775" style="177" customWidth="1"/>
    <col min="5390" max="5390" width="11.1083333333333" style="177" customWidth="1"/>
    <col min="5391" max="5391" width="10.4416666666667" style="177" customWidth="1"/>
    <col min="5392" max="5392" width="8.89166666666667" style="177"/>
    <col min="5393" max="5393" width="17.6666666666667" style="177" customWidth="1"/>
    <col min="5394" max="5394" width="12.6666666666667" style="177" customWidth="1"/>
    <col min="5395" max="5395" width="8.89166666666667" style="177"/>
    <col min="5396" max="5396" width="10.4416666666667" style="177" customWidth="1"/>
    <col min="5397" max="5397" width="12.6666666666667" style="177" customWidth="1"/>
    <col min="5398" max="5633" width="8.89166666666667" style="177"/>
    <col min="5634" max="5634" width="5.775" style="177" customWidth="1"/>
    <col min="5635" max="5635" width="21.5583333333333" style="177" customWidth="1"/>
    <col min="5636" max="5636" width="20.4416666666667" style="177" customWidth="1"/>
    <col min="5637" max="5637" width="19.225" style="177" customWidth="1"/>
    <col min="5638" max="5638" width="16.8916666666667" style="177" customWidth="1"/>
    <col min="5639" max="5639" width="22.6666666666667" style="177" customWidth="1"/>
    <col min="5640" max="5640" width="12.3333333333333" style="177" customWidth="1"/>
    <col min="5641" max="5641" width="12.225" style="177" customWidth="1"/>
    <col min="5642" max="5642" width="9.89166666666667" style="177" customWidth="1"/>
    <col min="5643" max="5643" width="11.225" style="177" customWidth="1"/>
    <col min="5644" max="5644" width="10.4416666666667" style="177" customWidth="1"/>
    <col min="5645" max="5645" width="12.775" style="177" customWidth="1"/>
    <col min="5646" max="5646" width="11.1083333333333" style="177" customWidth="1"/>
    <col min="5647" max="5647" width="10.4416666666667" style="177" customWidth="1"/>
    <col min="5648" max="5648" width="8.89166666666667" style="177"/>
    <col min="5649" max="5649" width="17.6666666666667" style="177" customWidth="1"/>
    <col min="5650" max="5650" width="12.6666666666667" style="177" customWidth="1"/>
    <col min="5651" max="5651" width="8.89166666666667" style="177"/>
    <col min="5652" max="5652" width="10.4416666666667" style="177" customWidth="1"/>
    <col min="5653" max="5653" width="12.6666666666667" style="177" customWidth="1"/>
    <col min="5654" max="5889" width="8.89166666666667" style="177"/>
    <col min="5890" max="5890" width="5.775" style="177" customWidth="1"/>
    <col min="5891" max="5891" width="21.5583333333333" style="177" customWidth="1"/>
    <col min="5892" max="5892" width="20.4416666666667" style="177" customWidth="1"/>
    <col min="5893" max="5893" width="19.225" style="177" customWidth="1"/>
    <col min="5894" max="5894" width="16.8916666666667" style="177" customWidth="1"/>
    <col min="5895" max="5895" width="22.6666666666667" style="177" customWidth="1"/>
    <col min="5896" max="5896" width="12.3333333333333" style="177" customWidth="1"/>
    <col min="5897" max="5897" width="12.225" style="177" customWidth="1"/>
    <col min="5898" max="5898" width="9.89166666666667" style="177" customWidth="1"/>
    <col min="5899" max="5899" width="11.225" style="177" customWidth="1"/>
    <col min="5900" max="5900" width="10.4416666666667" style="177" customWidth="1"/>
    <col min="5901" max="5901" width="12.775" style="177" customWidth="1"/>
    <col min="5902" max="5902" width="11.1083333333333" style="177" customWidth="1"/>
    <col min="5903" max="5903" width="10.4416666666667" style="177" customWidth="1"/>
    <col min="5904" max="5904" width="8.89166666666667" style="177"/>
    <col min="5905" max="5905" width="17.6666666666667" style="177" customWidth="1"/>
    <col min="5906" max="5906" width="12.6666666666667" style="177" customWidth="1"/>
    <col min="5907" max="5907" width="8.89166666666667" style="177"/>
    <col min="5908" max="5908" width="10.4416666666667" style="177" customWidth="1"/>
    <col min="5909" max="5909" width="12.6666666666667" style="177" customWidth="1"/>
    <col min="5910" max="6145" width="8.89166666666667" style="177"/>
    <col min="6146" max="6146" width="5.775" style="177" customWidth="1"/>
    <col min="6147" max="6147" width="21.5583333333333" style="177" customWidth="1"/>
    <col min="6148" max="6148" width="20.4416666666667" style="177" customWidth="1"/>
    <col min="6149" max="6149" width="19.225" style="177" customWidth="1"/>
    <col min="6150" max="6150" width="16.8916666666667" style="177" customWidth="1"/>
    <col min="6151" max="6151" width="22.6666666666667" style="177" customWidth="1"/>
    <col min="6152" max="6152" width="12.3333333333333" style="177" customWidth="1"/>
    <col min="6153" max="6153" width="12.225" style="177" customWidth="1"/>
    <col min="6154" max="6154" width="9.89166666666667" style="177" customWidth="1"/>
    <col min="6155" max="6155" width="11.225" style="177" customWidth="1"/>
    <col min="6156" max="6156" width="10.4416666666667" style="177" customWidth="1"/>
    <col min="6157" max="6157" width="12.775" style="177" customWidth="1"/>
    <col min="6158" max="6158" width="11.1083333333333" style="177" customWidth="1"/>
    <col min="6159" max="6159" width="10.4416666666667" style="177" customWidth="1"/>
    <col min="6160" max="6160" width="8.89166666666667" style="177"/>
    <col min="6161" max="6161" width="17.6666666666667" style="177" customWidth="1"/>
    <col min="6162" max="6162" width="12.6666666666667" style="177" customWidth="1"/>
    <col min="6163" max="6163" width="8.89166666666667" style="177"/>
    <col min="6164" max="6164" width="10.4416666666667" style="177" customWidth="1"/>
    <col min="6165" max="6165" width="12.6666666666667" style="177" customWidth="1"/>
    <col min="6166" max="6401" width="8.89166666666667" style="177"/>
    <col min="6402" max="6402" width="5.775" style="177" customWidth="1"/>
    <col min="6403" max="6403" width="21.5583333333333" style="177" customWidth="1"/>
    <col min="6404" max="6404" width="20.4416666666667" style="177" customWidth="1"/>
    <col min="6405" max="6405" width="19.225" style="177" customWidth="1"/>
    <col min="6406" max="6406" width="16.8916666666667" style="177" customWidth="1"/>
    <col min="6407" max="6407" width="22.6666666666667" style="177" customWidth="1"/>
    <col min="6408" max="6408" width="12.3333333333333" style="177" customWidth="1"/>
    <col min="6409" max="6409" width="12.225" style="177" customWidth="1"/>
    <col min="6410" max="6410" width="9.89166666666667" style="177" customWidth="1"/>
    <col min="6411" max="6411" width="11.225" style="177" customWidth="1"/>
    <col min="6412" max="6412" width="10.4416666666667" style="177" customWidth="1"/>
    <col min="6413" max="6413" width="12.775" style="177" customWidth="1"/>
    <col min="6414" max="6414" width="11.1083333333333" style="177" customWidth="1"/>
    <col min="6415" max="6415" width="10.4416666666667" style="177" customWidth="1"/>
    <col min="6416" max="6416" width="8.89166666666667" style="177"/>
    <col min="6417" max="6417" width="17.6666666666667" style="177" customWidth="1"/>
    <col min="6418" max="6418" width="12.6666666666667" style="177" customWidth="1"/>
    <col min="6419" max="6419" width="8.89166666666667" style="177"/>
    <col min="6420" max="6420" width="10.4416666666667" style="177" customWidth="1"/>
    <col min="6421" max="6421" width="12.6666666666667" style="177" customWidth="1"/>
    <col min="6422" max="6657" width="8.89166666666667" style="177"/>
    <col min="6658" max="6658" width="5.775" style="177" customWidth="1"/>
    <col min="6659" max="6659" width="21.5583333333333" style="177" customWidth="1"/>
    <col min="6660" max="6660" width="20.4416666666667" style="177" customWidth="1"/>
    <col min="6661" max="6661" width="19.225" style="177" customWidth="1"/>
    <col min="6662" max="6662" width="16.8916666666667" style="177" customWidth="1"/>
    <col min="6663" max="6663" width="22.6666666666667" style="177" customWidth="1"/>
    <col min="6664" max="6664" width="12.3333333333333" style="177" customWidth="1"/>
    <col min="6665" max="6665" width="12.225" style="177" customWidth="1"/>
    <col min="6666" max="6666" width="9.89166666666667" style="177" customWidth="1"/>
    <col min="6667" max="6667" width="11.225" style="177" customWidth="1"/>
    <col min="6668" max="6668" width="10.4416666666667" style="177" customWidth="1"/>
    <col min="6669" max="6669" width="12.775" style="177" customWidth="1"/>
    <col min="6670" max="6670" width="11.1083333333333" style="177" customWidth="1"/>
    <col min="6671" max="6671" width="10.4416666666667" style="177" customWidth="1"/>
    <col min="6672" max="6672" width="8.89166666666667" style="177"/>
    <col min="6673" max="6673" width="17.6666666666667" style="177" customWidth="1"/>
    <col min="6674" max="6674" width="12.6666666666667" style="177" customWidth="1"/>
    <col min="6675" max="6675" width="8.89166666666667" style="177"/>
    <col min="6676" max="6676" width="10.4416666666667" style="177" customWidth="1"/>
    <col min="6677" max="6677" width="12.6666666666667" style="177" customWidth="1"/>
    <col min="6678" max="6913" width="8.89166666666667" style="177"/>
    <col min="6914" max="6914" width="5.775" style="177" customWidth="1"/>
    <col min="6915" max="6915" width="21.5583333333333" style="177" customWidth="1"/>
    <col min="6916" max="6916" width="20.4416666666667" style="177" customWidth="1"/>
    <col min="6917" max="6917" width="19.225" style="177" customWidth="1"/>
    <col min="6918" max="6918" width="16.8916666666667" style="177" customWidth="1"/>
    <col min="6919" max="6919" width="22.6666666666667" style="177" customWidth="1"/>
    <col min="6920" max="6920" width="12.3333333333333" style="177" customWidth="1"/>
    <col min="6921" max="6921" width="12.225" style="177" customWidth="1"/>
    <col min="6922" max="6922" width="9.89166666666667" style="177" customWidth="1"/>
    <col min="6923" max="6923" width="11.225" style="177" customWidth="1"/>
    <col min="6924" max="6924" width="10.4416666666667" style="177" customWidth="1"/>
    <col min="6925" max="6925" width="12.775" style="177" customWidth="1"/>
    <col min="6926" max="6926" width="11.1083333333333" style="177" customWidth="1"/>
    <col min="6927" max="6927" width="10.4416666666667" style="177" customWidth="1"/>
    <col min="6928" max="6928" width="8.89166666666667" style="177"/>
    <col min="6929" max="6929" width="17.6666666666667" style="177" customWidth="1"/>
    <col min="6930" max="6930" width="12.6666666666667" style="177" customWidth="1"/>
    <col min="6931" max="6931" width="8.89166666666667" style="177"/>
    <col min="6932" max="6932" width="10.4416666666667" style="177" customWidth="1"/>
    <col min="6933" max="6933" width="12.6666666666667" style="177" customWidth="1"/>
    <col min="6934" max="7169" width="8.89166666666667" style="177"/>
    <col min="7170" max="7170" width="5.775" style="177" customWidth="1"/>
    <col min="7171" max="7171" width="21.5583333333333" style="177" customWidth="1"/>
    <col min="7172" max="7172" width="20.4416666666667" style="177" customWidth="1"/>
    <col min="7173" max="7173" width="19.225" style="177" customWidth="1"/>
    <col min="7174" max="7174" width="16.8916666666667" style="177" customWidth="1"/>
    <col min="7175" max="7175" width="22.6666666666667" style="177" customWidth="1"/>
    <col min="7176" max="7176" width="12.3333333333333" style="177" customWidth="1"/>
    <col min="7177" max="7177" width="12.225" style="177" customWidth="1"/>
    <col min="7178" max="7178" width="9.89166666666667" style="177" customWidth="1"/>
    <col min="7179" max="7179" width="11.225" style="177" customWidth="1"/>
    <col min="7180" max="7180" width="10.4416666666667" style="177" customWidth="1"/>
    <col min="7181" max="7181" width="12.775" style="177" customWidth="1"/>
    <col min="7182" max="7182" width="11.1083333333333" style="177" customWidth="1"/>
    <col min="7183" max="7183" width="10.4416666666667" style="177" customWidth="1"/>
    <col min="7184" max="7184" width="8.89166666666667" style="177"/>
    <col min="7185" max="7185" width="17.6666666666667" style="177" customWidth="1"/>
    <col min="7186" max="7186" width="12.6666666666667" style="177" customWidth="1"/>
    <col min="7187" max="7187" width="8.89166666666667" style="177"/>
    <col min="7188" max="7188" width="10.4416666666667" style="177" customWidth="1"/>
    <col min="7189" max="7189" width="12.6666666666667" style="177" customWidth="1"/>
    <col min="7190" max="7425" width="8.89166666666667" style="177"/>
    <col min="7426" max="7426" width="5.775" style="177" customWidth="1"/>
    <col min="7427" max="7427" width="21.5583333333333" style="177" customWidth="1"/>
    <col min="7428" max="7428" width="20.4416666666667" style="177" customWidth="1"/>
    <col min="7429" max="7429" width="19.225" style="177" customWidth="1"/>
    <col min="7430" max="7430" width="16.8916666666667" style="177" customWidth="1"/>
    <col min="7431" max="7431" width="22.6666666666667" style="177" customWidth="1"/>
    <col min="7432" max="7432" width="12.3333333333333" style="177" customWidth="1"/>
    <col min="7433" max="7433" width="12.225" style="177" customWidth="1"/>
    <col min="7434" max="7434" width="9.89166666666667" style="177" customWidth="1"/>
    <col min="7435" max="7435" width="11.225" style="177" customWidth="1"/>
    <col min="7436" max="7436" width="10.4416666666667" style="177" customWidth="1"/>
    <col min="7437" max="7437" width="12.775" style="177" customWidth="1"/>
    <col min="7438" max="7438" width="11.1083333333333" style="177" customWidth="1"/>
    <col min="7439" max="7439" width="10.4416666666667" style="177" customWidth="1"/>
    <col min="7440" max="7440" width="8.89166666666667" style="177"/>
    <col min="7441" max="7441" width="17.6666666666667" style="177" customWidth="1"/>
    <col min="7442" max="7442" width="12.6666666666667" style="177" customWidth="1"/>
    <col min="7443" max="7443" width="8.89166666666667" style="177"/>
    <col min="7444" max="7444" width="10.4416666666667" style="177" customWidth="1"/>
    <col min="7445" max="7445" width="12.6666666666667" style="177" customWidth="1"/>
    <col min="7446" max="7681" width="8.89166666666667" style="177"/>
    <col min="7682" max="7682" width="5.775" style="177" customWidth="1"/>
    <col min="7683" max="7683" width="21.5583333333333" style="177" customWidth="1"/>
    <col min="7684" max="7684" width="20.4416666666667" style="177" customWidth="1"/>
    <col min="7685" max="7685" width="19.225" style="177" customWidth="1"/>
    <col min="7686" max="7686" width="16.8916666666667" style="177" customWidth="1"/>
    <col min="7687" max="7687" width="22.6666666666667" style="177" customWidth="1"/>
    <col min="7688" max="7688" width="12.3333333333333" style="177" customWidth="1"/>
    <col min="7689" max="7689" width="12.225" style="177" customWidth="1"/>
    <col min="7690" max="7690" width="9.89166666666667" style="177" customWidth="1"/>
    <col min="7691" max="7691" width="11.225" style="177" customWidth="1"/>
    <col min="7692" max="7692" width="10.4416666666667" style="177" customWidth="1"/>
    <col min="7693" max="7693" width="12.775" style="177" customWidth="1"/>
    <col min="7694" max="7694" width="11.1083333333333" style="177" customWidth="1"/>
    <col min="7695" max="7695" width="10.4416666666667" style="177" customWidth="1"/>
    <col min="7696" max="7696" width="8.89166666666667" style="177"/>
    <col min="7697" max="7697" width="17.6666666666667" style="177" customWidth="1"/>
    <col min="7698" max="7698" width="12.6666666666667" style="177" customWidth="1"/>
    <col min="7699" max="7699" width="8.89166666666667" style="177"/>
    <col min="7700" max="7700" width="10.4416666666667" style="177" customWidth="1"/>
    <col min="7701" max="7701" width="12.6666666666667" style="177" customWidth="1"/>
    <col min="7702" max="7937" width="8.89166666666667" style="177"/>
    <col min="7938" max="7938" width="5.775" style="177" customWidth="1"/>
    <col min="7939" max="7939" width="21.5583333333333" style="177" customWidth="1"/>
    <col min="7940" max="7940" width="20.4416666666667" style="177" customWidth="1"/>
    <col min="7941" max="7941" width="19.225" style="177" customWidth="1"/>
    <col min="7942" max="7942" width="16.8916666666667" style="177" customWidth="1"/>
    <col min="7943" max="7943" width="22.6666666666667" style="177" customWidth="1"/>
    <col min="7944" max="7944" width="12.3333333333333" style="177" customWidth="1"/>
    <col min="7945" max="7945" width="12.225" style="177" customWidth="1"/>
    <col min="7946" max="7946" width="9.89166666666667" style="177" customWidth="1"/>
    <col min="7947" max="7947" width="11.225" style="177" customWidth="1"/>
    <col min="7948" max="7948" width="10.4416666666667" style="177" customWidth="1"/>
    <col min="7949" max="7949" width="12.775" style="177" customWidth="1"/>
    <col min="7950" max="7950" width="11.1083333333333" style="177" customWidth="1"/>
    <col min="7951" max="7951" width="10.4416666666667" style="177" customWidth="1"/>
    <col min="7952" max="7952" width="8.89166666666667" style="177"/>
    <col min="7953" max="7953" width="17.6666666666667" style="177" customWidth="1"/>
    <col min="7954" max="7954" width="12.6666666666667" style="177" customWidth="1"/>
    <col min="7955" max="7955" width="8.89166666666667" style="177"/>
    <col min="7956" max="7956" width="10.4416666666667" style="177" customWidth="1"/>
    <col min="7957" max="7957" width="12.6666666666667" style="177" customWidth="1"/>
    <col min="7958" max="8193" width="8.89166666666667" style="177"/>
    <col min="8194" max="8194" width="5.775" style="177" customWidth="1"/>
    <col min="8195" max="8195" width="21.5583333333333" style="177" customWidth="1"/>
    <col min="8196" max="8196" width="20.4416666666667" style="177" customWidth="1"/>
    <col min="8197" max="8197" width="19.225" style="177" customWidth="1"/>
    <col min="8198" max="8198" width="16.8916666666667" style="177" customWidth="1"/>
    <col min="8199" max="8199" width="22.6666666666667" style="177" customWidth="1"/>
    <col min="8200" max="8200" width="12.3333333333333" style="177" customWidth="1"/>
    <col min="8201" max="8201" width="12.225" style="177" customWidth="1"/>
    <col min="8202" max="8202" width="9.89166666666667" style="177" customWidth="1"/>
    <col min="8203" max="8203" width="11.225" style="177" customWidth="1"/>
    <col min="8204" max="8204" width="10.4416666666667" style="177" customWidth="1"/>
    <col min="8205" max="8205" width="12.775" style="177" customWidth="1"/>
    <col min="8206" max="8206" width="11.1083333333333" style="177" customWidth="1"/>
    <col min="8207" max="8207" width="10.4416666666667" style="177" customWidth="1"/>
    <col min="8208" max="8208" width="8.89166666666667" style="177"/>
    <col min="8209" max="8209" width="17.6666666666667" style="177" customWidth="1"/>
    <col min="8210" max="8210" width="12.6666666666667" style="177" customWidth="1"/>
    <col min="8211" max="8211" width="8.89166666666667" style="177"/>
    <col min="8212" max="8212" width="10.4416666666667" style="177" customWidth="1"/>
    <col min="8213" max="8213" width="12.6666666666667" style="177" customWidth="1"/>
    <col min="8214" max="8449" width="8.89166666666667" style="177"/>
    <col min="8450" max="8450" width="5.775" style="177" customWidth="1"/>
    <col min="8451" max="8451" width="21.5583333333333" style="177" customWidth="1"/>
    <col min="8452" max="8452" width="20.4416666666667" style="177" customWidth="1"/>
    <col min="8453" max="8453" width="19.225" style="177" customWidth="1"/>
    <col min="8454" max="8454" width="16.8916666666667" style="177" customWidth="1"/>
    <col min="8455" max="8455" width="22.6666666666667" style="177" customWidth="1"/>
    <col min="8456" max="8456" width="12.3333333333333" style="177" customWidth="1"/>
    <col min="8457" max="8457" width="12.225" style="177" customWidth="1"/>
    <col min="8458" max="8458" width="9.89166666666667" style="177" customWidth="1"/>
    <col min="8459" max="8459" width="11.225" style="177" customWidth="1"/>
    <col min="8460" max="8460" width="10.4416666666667" style="177" customWidth="1"/>
    <col min="8461" max="8461" width="12.775" style="177" customWidth="1"/>
    <col min="8462" max="8462" width="11.1083333333333" style="177" customWidth="1"/>
    <col min="8463" max="8463" width="10.4416666666667" style="177" customWidth="1"/>
    <col min="8464" max="8464" width="8.89166666666667" style="177"/>
    <col min="8465" max="8465" width="17.6666666666667" style="177" customWidth="1"/>
    <col min="8466" max="8466" width="12.6666666666667" style="177" customWidth="1"/>
    <col min="8467" max="8467" width="8.89166666666667" style="177"/>
    <col min="8468" max="8468" width="10.4416666666667" style="177" customWidth="1"/>
    <col min="8469" max="8469" width="12.6666666666667" style="177" customWidth="1"/>
    <col min="8470" max="8705" width="8.89166666666667" style="177"/>
    <col min="8706" max="8706" width="5.775" style="177" customWidth="1"/>
    <col min="8707" max="8707" width="21.5583333333333" style="177" customWidth="1"/>
    <col min="8708" max="8708" width="20.4416666666667" style="177" customWidth="1"/>
    <col min="8709" max="8709" width="19.225" style="177" customWidth="1"/>
    <col min="8710" max="8710" width="16.8916666666667" style="177" customWidth="1"/>
    <col min="8711" max="8711" width="22.6666666666667" style="177" customWidth="1"/>
    <col min="8712" max="8712" width="12.3333333333333" style="177" customWidth="1"/>
    <col min="8713" max="8713" width="12.225" style="177" customWidth="1"/>
    <col min="8714" max="8714" width="9.89166666666667" style="177" customWidth="1"/>
    <col min="8715" max="8715" width="11.225" style="177" customWidth="1"/>
    <col min="8716" max="8716" width="10.4416666666667" style="177" customWidth="1"/>
    <col min="8717" max="8717" width="12.775" style="177" customWidth="1"/>
    <col min="8718" max="8718" width="11.1083333333333" style="177" customWidth="1"/>
    <col min="8719" max="8719" width="10.4416666666667" style="177" customWidth="1"/>
    <col min="8720" max="8720" width="8.89166666666667" style="177"/>
    <col min="8721" max="8721" width="17.6666666666667" style="177" customWidth="1"/>
    <col min="8722" max="8722" width="12.6666666666667" style="177" customWidth="1"/>
    <col min="8723" max="8723" width="8.89166666666667" style="177"/>
    <col min="8724" max="8724" width="10.4416666666667" style="177" customWidth="1"/>
    <col min="8725" max="8725" width="12.6666666666667" style="177" customWidth="1"/>
    <col min="8726" max="8961" width="8.89166666666667" style="177"/>
    <col min="8962" max="8962" width="5.775" style="177" customWidth="1"/>
    <col min="8963" max="8963" width="21.5583333333333" style="177" customWidth="1"/>
    <col min="8964" max="8964" width="20.4416666666667" style="177" customWidth="1"/>
    <col min="8965" max="8965" width="19.225" style="177" customWidth="1"/>
    <col min="8966" max="8966" width="16.8916666666667" style="177" customWidth="1"/>
    <col min="8967" max="8967" width="22.6666666666667" style="177" customWidth="1"/>
    <col min="8968" max="8968" width="12.3333333333333" style="177" customWidth="1"/>
    <col min="8969" max="8969" width="12.225" style="177" customWidth="1"/>
    <col min="8970" max="8970" width="9.89166666666667" style="177" customWidth="1"/>
    <col min="8971" max="8971" width="11.225" style="177" customWidth="1"/>
    <col min="8972" max="8972" width="10.4416666666667" style="177" customWidth="1"/>
    <col min="8973" max="8973" width="12.775" style="177" customWidth="1"/>
    <col min="8974" max="8974" width="11.1083333333333" style="177" customWidth="1"/>
    <col min="8975" max="8975" width="10.4416666666667" style="177" customWidth="1"/>
    <col min="8976" max="8976" width="8.89166666666667" style="177"/>
    <col min="8977" max="8977" width="17.6666666666667" style="177" customWidth="1"/>
    <col min="8978" max="8978" width="12.6666666666667" style="177" customWidth="1"/>
    <col min="8979" max="8979" width="8.89166666666667" style="177"/>
    <col min="8980" max="8980" width="10.4416666666667" style="177" customWidth="1"/>
    <col min="8981" max="8981" width="12.6666666666667" style="177" customWidth="1"/>
    <col min="8982" max="9217" width="8.89166666666667" style="177"/>
    <col min="9218" max="9218" width="5.775" style="177" customWidth="1"/>
    <col min="9219" max="9219" width="21.5583333333333" style="177" customWidth="1"/>
    <col min="9220" max="9220" width="20.4416666666667" style="177" customWidth="1"/>
    <col min="9221" max="9221" width="19.225" style="177" customWidth="1"/>
    <col min="9222" max="9222" width="16.8916666666667" style="177" customWidth="1"/>
    <col min="9223" max="9223" width="22.6666666666667" style="177" customWidth="1"/>
    <col min="9224" max="9224" width="12.3333333333333" style="177" customWidth="1"/>
    <col min="9225" max="9225" width="12.225" style="177" customWidth="1"/>
    <col min="9226" max="9226" width="9.89166666666667" style="177" customWidth="1"/>
    <col min="9227" max="9227" width="11.225" style="177" customWidth="1"/>
    <col min="9228" max="9228" width="10.4416666666667" style="177" customWidth="1"/>
    <col min="9229" max="9229" width="12.775" style="177" customWidth="1"/>
    <col min="9230" max="9230" width="11.1083333333333" style="177" customWidth="1"/>
    <col min="9231" max="9231" width="10.4416666666667" style="177" customWidth="1"/>
    <col min="9232" max="9232" width="8.89166666666667" style="177"/>
    <col min="9233" max="9233" width="17.6666666666667" style="177" customWidth="1"/>
    <col min="9234" max="9234" width="12.6666666666667" style="177" customWidth="1"/>
    <col min="9235" max="9235" width="8.89166666666667" style="177"/>
    <col min="9236" max="9236" width="10.4416666666667" style="177" customWidth="1"/>
    <col min="9237" max="9237" width="12.6666666666667" style="177" customWidth="1"/>
    <col min="9238" max="9473" width="8.89166666666667" style="177"/>
    <col min="9474" max="9474" width="5.775" style="177" customWidth="1"/>
    <col min="9475" max="9475" width="21.5583333333333" style="177" customWidth="1"/>
    <col min="9476" max="9476" width="20.4416666666667" style="177" customWidth="1"/>
    <col min="9477" max="9477" width="19.225" style="177" customWidth="1"/>
    <col min="9478" max="9478" width="16.8916666666667" style="177" customWidth="1"/>
    <col min="9479" max="9479" width="22.6666666666667" style="177" customWidth="1"/>
    <col min="9480" max="9480" width="12.3333333333333" style="177" customWidth="1"/>
    <col min="9481" max="9481" width="12.225" style="177" customWidth="1"/>
    <col min="9482" max="9482" width="9.89166666666667" style="177" customWidth="1"/>
    <col min="9483" max="9483" width="11.225" style="177" customWidth="1"/>
    <col min="9484" max="9484" width="10.4416666666667" style="177" customWidth="1"/>
    <col min="9485" max="9485" width="12.775" style="177" customWidth="1"/>
    <col min="9486" max="9486" width="11.1083333333333" style="177" customWidth="1"/>
    <col min="9487" max="9487" width="10.4416666666667" style="177" customWidth="1"/>
    <col min="9488" max="9488" width="8.89166666666667" style="177"/>
    <col min="9489" max="9489" width="17.6666666666667" style="177" customWidth="1"/>
    <col min="9490" max="9490" width="12.6666666666667" style="177" customWidth="1"/>
    <col min="9491" max="9491" width="8.89166666666667" style="177"/>
    <col min="9492" max="9492" width="10.4416666666667" style="177" customWidth="1"/>
    <col min="9493" max="9493" width="12.6666666666667" style="177" customWidth="1"/>
    <col min="9494" max="9729" width="8.89166666666667" style="177"/>
    <col min="9730" max="9730" width="5.775" style="177" customWidth="1"/>
    <col min="9731" max="9731" width="21.5583333333333" style="177" customWidth="1"/>
    <col min="9732" max="9732" width="20.4416666666667" style="177" customWidth="1"/>
    <col min="9733" max="9733" width="19.225" style="177" customWidth="1"/>
    <col min="9734" max="9734" width="16.8916666666667" style="177" customWidth="1"/>
    <col min="9735" max="9735" width="22.6666666666667" style="177" customWidth="1"/>
    <col min="9736" max="9736" width="12.3333333333333" style="177" customWidth="1"/>
    <col min="9737" max="9737" width="12.225" style="177" customWidth="1"/>
    <col min="9738" max="9738" width="9.89166666666667" style="177" customWidth="1"/>
    <col min="9739" max="9739" width="11.225" style="177" customWidth="1"/>
    <col min="9740" max="9740" width="10.4416666666667" style="177" customWidth="1"/>
    <col min="9741" max="9741" width="12.775" style="177" customWidth="1"/>
    <col min="9742" max="9742" width="11.1083333333333" style="177" customWidth="1"/>
    <col min="9743" max="9743" width="10.4416666666667" style="177" customWidth="1"/>
    <col min="9744" max="9744" width="8.89166666666667" style="177"/>
    <col min="9745" max="9745" width="17.6666666666667" style="177" customWidth="1"/>
    <col min="9746" max="9746" width="12.6666666666667" style="177" customWidth="1"/>
    <col min="9747" max="9747" width="8.89166666666667" style="177"/>
    <col min="9748" max="9748" width="10.4416666666667" style="177" customWidth="1"/>
    <col min="9749" max="9749" width="12.6666666666667" style="177" customWidth="1"/>
    <col min="9750" max="9985" width="8.89166666666667" style="177"/>
    <col min="9986" max="9986" width="5.775" style="177" customWidth="1"/>
    <col min="9987" max="9987" width="21.5583333333333" style="177" customWidth="1"/>
    <col min="9988" max="9988" width="20.4416666666667" style="177" customWidth="1"/>
    <col min="9989" max="9989" width="19.225" style="177" customWidth="1"/>
    <col min="9990" max="9990" width="16.8916666666667" style="177" customWidth="1"/>
    <col min="9991" max="9991" width="22.6666666666667" style="177" customWidth="1"/>
    <col min="9992" max="9992" width="12.3333333333333" style="177" customWidth="1"/>
    <col min="9993" max="9993" width="12.225" style="177" customWidth="1"/>
    <col min="9994" max="9994" width="9.89166666666667" style="177" customWidth="1"/>
    <col min="9995" max="9995" width="11.225" style="177" customWidth="1"/>
    <col min="9996" max="9996" width="10.4416666666667" style="177" customWidth="1"/>
    <col min="9997" max="9997" width="12.775" style="177" customWidth="1"/>
    <col min="9998" max="9998" width="11.1083333333333" style="177" customWidth="1"/>
    <col min="9999" max="9999" width="10.4416666666667" style="177" customWidth="1"/>
    <col min="10000" max="10000" width="8.89166666666667" style="177"/>
    <col min="10001" max="10001" width="17.6666666666667" style="177" customWidth="1"/>
    <col min="10002" max="10002" width="12.6666666666667" style="177" customWidth="1"/>
    <col min="10003" max="10003" width="8.89166666666667" style="177"/>
    <col min="10004" max="10004" width="10.4416666666667" style="177" customWidth="1"/>
    <col min="10005" max="10005" width="12.6666666666667" style="177" customWidth="1"/>
    <col min="10006" max="10241" width="8.89166666666667" style="177"/>
    <col min="10242" max="10242" width="5.775" style="177" customWidth="1"/>
    <col min="10243" max="10243" width="21.5583333333333" style="177" customWidth="1"/>
    <col min="10244" max="10244" width="20.4416666666667" style="177" customWidth="1"/>
    <col min="10245" max="10245" width="19.225" style="177" customWidth="1"/>
    <col min="10246" max="10246" width="16.8916666666667" style="177" customWidth="1"/>
    <col min="10247" max="10247" width="22.6666666666667" style="177" customWidth="1"/>
    <col min="10248" max="10248" width="12.3333333333333" style="177" customWidth="1"/>
    <col min="10249" max="10249" width="12.225" style="177" customWidth="1"/>
    <col min="10250" max="10250" width="9.89166666666667" style="177" customWidth="1"/>
    <col min="10251" max="10251" width="11.225" style="177" customWidth="1"/>
    <col min="10252" max="10252" width="10.4416666666667" style="177" customWidth="1"/>
    <col min="10253" max="10253" width="12.775" style="177" customWidth="1"/>
    <col min="10254" max="10254" width="11.1083333333333" style="177" customWidth="1"/>
    <col min="10255" max="10255" width="10.4416666666667" style="177" customWidth="1"/>
    <col min="10256" max="10256" width="8.89166666666667" style="177"/>
    <col min="10257" max="10257" width="17.6666666666667" style="177" customWidth="1"/>
    <col min="10258" max="10258" width="12.6666666666667" style="177" customWidth="1"/>
    <col min="10259" max="10259" width="8.89166666666667" style="177"/>
    <col min="10260" max="10260" width="10.4416666666667" style="177" customWidth="1"/>
    <col min="10261" max="10261" width="12.6666666666667" style="177" customWidth="1"/>
    <col min="10262" max="10497" width="8.89166666666667" style="177"/>
    <col min="10498" max="10498" width="5.775" style="177" customWidth="1"/>
    <col min="10499" max="10499" width="21.5583333333333" style="177" customWidth="1"/>
    <col min="10500" max="10500" width="20.4416666666667" style="177" customWidth="1"/>
    <col min="10501" max="10501" width="19.225" style="177" customWidth="1"/>
    <col min="10502" max="10502" width="16.8916666666667" style="177" customWidth="1"/>
    <col min="10503" max="10503" width="22.6666666666667" style="177" customWidth="1"/>
    <col min="10504" max="10504" width="12.3333333333333" style="177" customWidth="1"/>
    <col min="10505" max="10505" width="12.225" style="177" customWidth="1"/>
    <col min="10506" max="10506" width="9.89166666666667" style="177" customWidth="1"/>
    <col min="10507" max="10507" width="11.225" style="177" customWidth="1"/>
    <col min="10508" max="10508" width="10.4416666666667" style="177" customWidth="1"/>
    <col min="10509" max="10509" width="12.775" style="177" customWidth="1"/>
    <col min="10510" max="10510" width="11.1083333333333" style="177" customWidth="1"/>
    <col min="10511" max="10511" width="10.4416666666667" style="177" customWidth="1"/>
    <col min="10512" max="10512" width="8.89166666666667" style="177"/>
    <col min="10513" max="10513" width="17.6666666666667" style="177" customWidth="1"/>
    <col min="10514" max="10514" width="12.6666666666667" style="177" customWidth="1"/>
    <col min="10515" max="10515" width="8.89166666666667" style="177"/>
    <col min="10516" max="10516" width="10.4416666666667" style="177" customWidth="1"/>
    <col min="10517" max="10517" width="12.6666666666667" style="177" customWidth="1"/>
    <col min="10518" max="10753" width="8.89166666666667" style="177"/>
    <col min="10754" max="10754" width="5.775" style="177" customWidth="1"/>
    <col min="10755" max="10755" width="21.5583333333333" style="177" customWidth="1"/>
    <col min="10756" max="10756" width="20.4416666666667" style="177" customWidth="1"/>
    <col min="10757" max="10757" width="19.225" style="177" customWidth="1"/>
    <col min="10758" max="10758" width="16.8916666666667" style="177" customWidth="1"/>
    <col min="10759" max="10759" width="22.6666666666667" style="177" customWidth="1"/>
    <col min="10760" max="10760" width="12.3333333333333" style="177" customWidth="1"/>
    <col min="10761" max="10761" width="12.225" style="177" customWidth="1"/>
    <col min="10762" max="10762" width="9.89166666666667" style="177" customWidth="1"/>
    <col min="10763" max="10763" width="11.225" style="177" customWidth="1"/>
    <col min="10764" max="10764" width="10.4416666666667" style="177" customWidth="1"/>
    <col min="10765" max="10765" width="12.775" style="177" customWidth="1"/>
    <col min="10766" max="10766" width="11.1083333333333" style="177" customWidth="1"/>
    <col min="10767" max="10767" width="10.4416666666667" style="177" customWidth="1"/>
    <col min="10768" max="10768" width="8.89166666666667" style="177"/>
    <col min="10769" max="10769" width="17.6666666666667" style="177" customWidth="1"/>
    <col min="10770" max="10770" width="12.6666666666667" style="177" customWidth="1"/>
    <col min="10771" max="10771" width="8.89166666666667" style="177"/>
    <col min="10772" max="10772" width="10.4416666666667" style="177" customWidth="1"/>
    <col min="10773" max="10773" width="12.6666666666667" style="177" customWidth="1"/>
    <col min="10774" max="11009" width="8.89166666666667" style="177"/>
    <col min="11010" max="11010" width="5.775" style="177" customWidth="1"/>
    <col min="11011" max="11011" width="21.5583333333333" style="177" customWidth="1"/>
    <col min="11012" max="11012" width="20.4416666666667" style="177" customWidth="1"/>
    <col min="11013" max="11013" width="19.225" style="177" customWidth="1"/>
    <col min="11014" max="11014" width="16.8916666666667" style="177" customWidth="1"/>
    <col min="11015" max="11015" width="22.6666666666667" style="177" customWidth="1"/>
    <col min="11016" max="11016" width="12.3333333333333" style="177" customWidth="1"/>
    <col min="11017" max="11017" width="12.225" style="177" customWidth="1"/>
    <col min="11018" max="11018" width="9.89166666666667" style="177" customWidth="1"/>
    <col min="11019" max="11019" width="11.225" style="177" customWidth="1"/>
    <col min="11020" max="11020" width="10.4416666666667" style="177" customWidth="1"/>
    <col min="11021" max="11021" width="12.775" style="177" customWidth="1"/>
    <col min="11022" max="11022" width="11.1083333333333" style="177" customWidth="1"/>
    <col min="11023" max="11023" width="10.4416666666667" style="177" customWidth="1"/>
    <col min="11024" max="11024" width="8.89166666666667" style="177"/>
    <col min="11025" max="11025" width="17.6666666666667" style="177" customWidth="1"/>
    <col min="11026" max="11026" width="12.6666666666667" style="177" customWidth="1"/>
    <col min="11027" max="11027" width="8.89166666666667" style="177"/>
    <col min="11028" max="11028" width="10.4416666666667" style="177" customWidth="1"/>
    <col min="11029" max="11029" width="12.6666666666667" style="177" customWidth="1"/>
    <col min="11030" max="11265" width="8.89166666666667" style="177"/>
    <col min="11266" max="11266" width="5.775" style="177" customWidth="1"/>
    <col min="11267" max="11267" width="21.5583333333333" style="177" customWidth="1"/>
    <col min="11268" max="11268" width="20.4416666666667" style="177" customWidth="1"/>
    <col min="11269" max="11269" width="19.225" style="177" customWidth="1"/>
    <col min="11270" max="11270" width="16.8916666666667" style="177" customWidth="1"/>
    <col min="11271" max="11271" width="22.6666666666667" style="177" customWidth="1"/>
    <col min="11272" max="11272" width="12.3333333333333" style="177" customWidth="1"/>
    <col min="11273" max="11273" width="12.225" style="177" customWidth="1"/>
    <col min="11274" max="11274" width="9.89166666666667" style="177" customWidth="1"/>
    <col min="11275" max="11275" width="11.225" style="177" customWidth="1"/>
    <col min="11276" max="11276" width="10.4416666666667" style="177" customWidth="1"/>
    <col min="11277" max="11277" width="12.775" style="177" customWidth="1"/>
    <col min="11278" max="11278" width="11.1083333333333" style="177" customWidth="1"/>
    <col min="11279" max="11279" width="10.4416666666667" style="177" customWidth="1"/>
    <col min="11280" max="11280" width="8.89166666666667" style="177"/>
    <col min="11281" max="11281" width="17.6666666666667" style="177" customWidth="1"/>
    <col min="11282" max="11282" width="12.6666666666667" style="177" customWidth="1"/>
    <col min="11283" max="11283" width="8.89166666666667" style="177"/>
    <col min="11284" max="11284" width="10.4416666666667" style="177" customWidth="1"/>
    <col min="11285" max="11285" width="12.6666666666667" style="177" customWidth="1"/>
    <col min="11286" max="11521" width="8.89166666666667" style="177"/>
    <col min="11522" max="11522" width="5.775" style="177" customWidth="1"/>
    <col min="11523" max="11523" width="21.5583333333333" style="177" customWidth="1"/>
    <col min="11524" max="11524" width="20.4416666666667" style="177" customWidth="1"/>
    <col min="11525" max="11525" width="19.225" style="177" customWidth="1"/>
    <col min="11526" max="11526" width="16.8916666666667" style="177" customWidth="1"/>
    <col min="11527" max="11527" width="22.6666666666667" style="177" customWidth="1"/>
    <col min="11528" max="11528" width="12.3333333333333" style="177" customWidth="1"/>
    <col min="11529" max="11529" width="12.225" style="177" customWidth="1"/>
    <col min="11530" max="11530" width="9.89166666666667" style="177" customWidth="1"/>
    <col min="11531" max="11531" width="11.225" style="177" customWidth="1"/>
    <col min="11532" max="11532" width="10.4416666666667" style="177" customWidth="1"/>
    <col min="11533" max="11533" width="12.775" style="177" customWidth="1"/>
    <col min="11534" max="11534" width="11.1083333333333" style="177" customWidth="1"/>
    <col min="11535" max="11535" width="10.4416666666667" style="177" customWidth="1"/>
    <col min="11536" max="11536" width="8.89166666666667" style="177"/>
    <col min="11537" max="11537" width="17.6666666666667" style="177" customWidth="1"/>
    <col min="11538" max="11538" width="12.6666666666667" style="177" customWidth="1"/>
    <col min="11539" max="11539" width="8.89166666666667" style="177"/>
    <col min="11540" max="11540" width="10.4416666666667" style="177" customWidth="1"/>
    <col min="11541" max="11541" width="12.6666666666667" style="177" customWidth="1"/>
    <col min="11542" max="11777" width="8.89166666666667" style="177"/>
    <col min="11778" max="11778" width="5.775" style="177" customWidth="1"/>
    <col min="11779" max="11779" width="21.5583333333333" style="177" customWidth="1"/>
    <col min="11780" max="11780" width="20.4416666666667" style="177" customWidth="1"/>
    <col min="11781" max="11781" width="19.225" style="177" customWidth="1"/>
    <col min="11782" max="11782" width="16.8916666666667" style="177" customWidth="1"/>
    <col min="11783" max="11783" width="22.6666666666667" style="177" customWidth="1"/>
    <col min="11784" max="11784" width="12.3333333333333" style="177" customWidth="1"/>
    <col min="11785" max="11785" width="12.225" style="177" customWidth="1"/>
    <col min="11786" max="11786" width="9.89166666666667" style="177" customWidth="1"/>
    <col min="11787" max="11787" width="11.225" style="177" customWidth="1"/>
    <col min="11788" max="11788" width="10.4416666666667" style="177" customWidth="1"/>
    <col min="11789" max="11789" width="12.775" style="177" customWidth="1"/>
    <col min="11790" max="11790" width="11.1083333333333" style="177" customWidth="1"/>
    <col min="11791" max="11791" width="10.4416666666667" style="177" customWidth="1"/>
    <col min="11792" max="11792" width="8.89166666666667" style="177"/>
    <col min="11793" max="11793" width="17.6666666666667" style="177" customWidth="1"/>
    <col min="11794" max="11794" width="12.6666666666667" style="177" customWidth="1"/>
    <col min="11795" max="11795" width="8.89166666666667" style="177"/>
    <col min="11796" max="11796" width="10.4416666666667" style="177" customWidth="1"/>
    <col min="11797" max="11797" width="12.6666666666667" style="177" customWidth="1"/>
    <col min="11798" max="12033" width="8.89166666666667" style="177"/>
    <col min="12034" max="12034" width="5.775" style="177" customWidth="1"/>
    <col min="12035" max="12035" width="21.5583333333333" style="177" customWidth="1"/>
    <col min="12036" max="12036" width="20.4416666666667" style="177" customWidth="1"/>
    <col min="12037" max="12037" width="19.225" style="177" customWidth="1"/>
    <col min="12038" max="12038" width="16.8916666666667" style="177" customWidth="1"/>
    <col min="12039" max="12039" width="22.6666666666667" style="177" customWidth="1"/>
    <col min="12040" max="12040" width="12.3333333333333" style="177" customWidth="1"/>
    <col min="12041" max="12041" width="12.225" style="177" customWidth="1"/>
    <col min="12042" max="12042" width="9.89166666666667" style="177" customWidth="1"/>
    <col min="12043" max="12043" width="11.225" style="177" customWidth="1"/>
    <col min="12044" max="12044" width="10.4416666666667" style="177" customWidth="1"/>
    <col min="12045" max="12045" width="12.775" style="177" customWidth="1"/>
    <col min="12046" max="12046" width="11.1083333333333" style="177" customWidth="1"/>
    <col min="12047" max="12047" width="10.4416666666667" style="177" customWidth="1"/>
    <col min="12048" max="12048" width="8.89166666666667" style="177"/>
    <col min="12049" max="12049" width="17.6666666666667" style="177" customWidth="1"/>
    <col min="12050" max="12050" width="12.6666666666667" style="177" customWidth="1"/>
    <col min="12051" max="12051" width="8.89166666666667" style="177"/>
    <col min="12052" max="12052" width="10.4416666666667" style="177" customWidth="1"/>
    <col min="12053" max="12053" width="12.6666666666667" style="177" customWidth="1"/>
    <col min="12054" max="12289" width="8.89166666666667" style="177"/>
    <col min="12290" max="12290" width="5.775" style="177" customWidth="1"/>
    <col min="12291" max="12291" width="21.5583333333333" style="177" customWidth="1"/>
    <col min="12292" max="12292" width="20.4416666666667" style="177" customWidth="1"/>
    <col min="12293" max="12293" width="19.225" style="177" customWidth="1"/>
    <col min="12294" max="12294" width="16.8916666666667" style="177" customWidth="1"/>
    <col min="12295" max="12295" width="22.6666666666667" style="177" customWidth="1"/>
    <col min="12296" max="12296" width="12.3333333333333" style="177" customWidth="1"/>
    <col min="12297" max="12297" width="12.225" style="177" customWidth="1"/>
    <col min="12298" max="12298" width="9.89166666666667" style="177" customWidth="1"/>
    <col min="12299" max="12299" width="11.225" style="177" customWidth="1"/>
    <col min="12300" max="12300" width="10.4416666666667" style="177" customWidth="1"/>
    <col min="12301" max="12301" width="12.775" style="177" customWidth="1"/>
    <col min="12302" max="12302" width="11.1083333333333" style="177" customWidth="1"/>
    <col min="12303" max="12303" width="10.4416666666667" style="177" customWidth="1"/>
    <col min="12304" max="12304" width="8.89166666666667" style="177"/>
    <col min="12305" max="12305" width="17.6666666666667" style="177" customWidth="1"/>
    <col min="12306" max="12306" width="12.6666666666667" style="177" customWidth="1"/>
    <col min="12307" max="12307" width="8.89166666666667" style="177"/>
    <col min="12308" max="12308" width="10.4416666666667" style="177" customWidth="1"/>
    <col min="12309" max="12309" width="12.6666666666667" style="177" customWidth="1"/>
    <col min="12310" max="12545" width="8.89166666666667" style="177"/>
    <col min="12546" max="12546" width="5.775" style="177" customWidth="1"/>
    <col min="12547" max="12547" width="21.5583333333333" style="177" customWidth="1"/>
    <col min="12548" max="12548" width="20.4416666666667" style="177" customWidth="1"/>
    <col min="12549" max="12549" width="19.225" style="177" customWidth="1"/>
    <col min="12550" max="12550" width="16.8916666666667" style="177" customWidth="1"/>
    <col min="12551" max="12551" width="22.6666666666667" style="177" customWidth="1"/>
    <col min="12552" max="12552" width="12.3333333333333" style="177" customWidth="1"/>
    <col min="12553" max="12553" width="12.225" style="177" customWidth="1"/>
    <col min="12554" max="12554" width="9.89166666666667" style="177" customWidth="1"/>
    <col min="12555" max="12555" width="11.225" style="177" customWidth="1"/>
    <col min="12556" max="12556" width="10.4416666666667" style="177" customWidth="1"/>
    <col min="12557" max="12557" width="12.775" style="177" customWidth="1"/>
    <col min="12558" max="12558" width="11.1083333333333" style="177" customWidth="1"/>
    <col min="12559" max="12559" width="10.4416666666667" style="177" customWidth="1"/>
    <col min="12560" max="12560" width="8.89166666666667" style="177"/>
    <col min="12561" max="12561" width="17.6666666666667" style="177" customWidth="1"/>
    <col min="12562" max="12562" width="12.6666666666667" style="177" customWidth="1"/>
    <col min="12563" max="12563" width="8.89166666666667" style="177"/>
    <col min="12564" max="12564" width="10.4416666666667" style="177" customWidth="1"/>
    <col min="12565" max="12565" width="12.6666666666667" style="177" customWidth="1"/>
    <col min="12566" max="12801" width="8.89166666666667" style="177"/>
    <col min="12802" max="12802" width="5.775" style="177" customWidth="1"/>
    <col min="12803" max="12803" width="21.5583333333333" style="177" customWidth="1"/>
    <col min="12804" max="12804" width="20.4416666666667" style="177" customWidth="1"/>
    <col min="12805" max="12805" width="19.225" style="177" customWidth="1"/>
    <col min="12806" max="12806" width="16.8916666666667" style="177" customWidth="1"/>
    <col min="12807" max="12807" width="22.6666666666667" style="177" customWidth="1"/>
    <col min="12808" max="12808" width="12.3333333333333" style="177" customWidth="1"/>
    <col min="12809" max="12809" width="12.225" style="177" customWidth="1"/>
    <col min="12810" max="12810" width="9.89166666666667" style="177" customWidth="1"/>
    <col min="12811" max="12811" width="11.225" style="177" customWidth="1"/>
    <col min="12812" max="12812" width="10.4416666666667" style="177" customWidth="1"/>
    <col min="12813" max="12813" width="12.775" style="177" customWidth="1"/>
    <col min="12814" max="12814" width="11.1083333333333" style="177" customWidth="1"/>
    <col min="12815" max="12815" width="10.4416666666667" style="177" customWidth="1"/>
    <col min="12816" max="12816" width="8.89166666666667" style="177"/>
    <col min="12817" max="12817" width="17.6666666666667" style="177" customWidth="1"/>
    <col min="12818" max="12818" width="12.6666666666667" style="177" customWidth="1"/>
    <col min="12819" max="12819" width="8.89166666666667" style="177"/>
    <col min="12820" max="12820" width="10.4416666666667" style="177" customWidth="1"/>
    <col min="12821" max="12821" width="12.6666666666667" style="177" customWidth="1"/>
    <col min="12822" max="13057" width="8.89166666666667" style="177"/>
    <col min="13058" max="13058" width="5.775" style="177" customWidth="1"/>
    <col min="13059" max="13059" width="21.5583333333333" style="177" customWidth="1"/>
    <col min="13060" max="13060" width="20.4416666666667" style="177" customWidth="1"/>
    <col min="13061" max="13061" width="19.225" style="177" customWidth="1"/>
    <col min="13062" max="13062" width="16.8916666666667" style="177" customWidth="1"/>
    <col min="13063" max="13063" width="22.6666666666667" style="177" customWidth="1"/>
    <col min="13064" max="13064" width="12.3333333333333" style="177" customWidth="1"/>
    <col min="13065" max="13065" width="12.225" style="177" customWidth="1"/>
    <col min="13066" max="13066" width="9.89166666666667" style="177" customWidth="1"/>
    <col min="13067" max="13067" width="11.225" style="177" customWidth="1"/>
    <col min="13068" max="13068" width="10.4416666666667" style="177" customWidth="1"/>
    <col min="13069" max="13069" width="12.775" style="177" customWidth="1"/>
    <col min="13070" max="13070" width="11.1083333333333" style="177" customWidth="1"/>
    <col min="13071" max="13071" width="10.4416666666667" style="177" customWidth="1"/>
    <col min="13072" max="13072" width="8.89166666666667" style="177"/>
    <col min="13073" max="13073" width="17.6666666666667" style="177" customWidth="1"/>
    <col min="13074" max="13074" width="12.6666666666667" style="177" customWidth="1"/>
    <col min="13075" max="13075" width="8.89166666666667" style="177"/>
    <col min="13076" max="13076" width="10.4416666666667" style="177" customWidth="1"/>
    <col min="13077" max="13077" width="12.6666666666667" style="177" customWidth="1"/>
    <col min="13078" max="13313" width="8.89166666666667" style="177"/>
    <col min="13314" max="13314" width="5.775" style="177" customWidth="1"/>
    <col min="13315" max="13315" width="21.5583333333333" style="177" customWidth="1"/>
    <col min="13316" max="13316" width="20.4416666666667" style="177" customWidth="1"/>
    <col min="13317" max="13317" width="19.225" style="177" customWidth="1"/>
    <col min="13318" max="13318" width="16.8916666666667" style="177" customWidth="1"/>
    <col min="13319" max="13319" width="22.6666666666667" style="177" customWidth="1"/>
    <col min="13320" max="13320" width="12.3333333333333" style="177" customWidth="1"/>
    <col min="13321" max="13321" width="12.225" style="177" customWidth="1"/>
    <col min="13322" max="13322" width="9.89166666666667" style="177" customWidth="1"/>
    <col min="13323" max="13323" width="11.225" style="177" customWidth="1"/>
    <col min="13324" max="13324" width="10.4416666666667" style="177" customWidth="1"/>
    <col min="13325" max="13325" width="12.775" style="177" customWidth="1"/>
    <col min="13326" max="13326" width="11.1083333333333" style="177" customWidth="1"/>
    <col min="13327" max="13327" width="10.4416666666667" style="177" customWidth="1"/>
    <col min="13328" max="13328" width="8.89166666666667" style="177"/>
    <col min="13329" max="13329" width="17.6666666666667" style="177" customWidth="1"/>
    <col min="13330" max="13330" width="12.6666666666667" style="177" customWidth="1"/>
    <col min="13331" max="13331" width="8.89166666666667" style="177"/>
    <col min="13332" max="13332" width="10.4416666666667" style="177" customWidth="1"/>
    <col min="13333" max="13333" width="12.6666666666667" style="177" customWidth="1"/>
    <col min="13334" max="13569" width="8.89166666666667" style="177"/>
    <col min="13570" max="13570" width="5.775" style="177" customWidth="1"/>
    <col min="13571" max="13571" width="21.5583333333333" style="177" customWidth="1"/>
    <col min="13572" max="13572" width="20.4416666666667" style="177" customWidth="1"/>
    <col min="13573" max="13573" width="19.225" style="177" customWidth="1"/>
    <col min="13574" max="13574" width="16.8916666666667" style="177" customWidth="1"/>
    <col min="13575" max="13575" width="22.6666666666667" style="177" customWidth="1"/>
    <col min="13576" max="13576" width="12.3333333333333" style="177" customWidth="1"/>
    <col min="13577" max="13577" width="12.225" style="177" customWidth="1"/>
    <col min="13578" max="13578" width="9.89166666666667" style="177" customWidth="1"/>
    <col min="13579" max="13579" width="11.225" style="177" customWidth="1"/>
    <col min="13580" max="13580" width="10.4416666666667" style="177" customWidth="1"/>
    <col min="13581" max="13581" width="12.775" style="177" customWidth="1"/>
    <col min="13582" max="13582" width="11.1083333333333" style="177" customWidth="1"/>
    <col min="13583" max="13583" width="10.4416666666667" style="177" customWidth="1"/>
    <col min="13584" max="13584" width="8.89166666666667" style="177"/>
    <col min="13585" max="13585" width="17.6666666666667" style="177" customWidth="1"/>
    <col min="13586" max="13586" width="12.6666666666667" style="177" customWidth="1"/>
    <col min="13587" max="13587" width="8.89166666666667" style="177"/>
    <col min="13588" max="13588" width="10.4416666666667" style="177" customWidth="1"/>
    <col min="13589" max="13589" width="12.6666666666667" style="177" customWidth="1"/>
    <col min="13590" max="13825" width="8.89166666666667" style="177"/>
    <col min="13826" max="13826" width="5.775" style="177" customWidth="1"/>
    <col min="13827" max="13827" width="21.5583333333333" style="177" customWidth="1"/>
    <col min="13828" max="13828" width="20.4416666666667" style="177" customWidth="1"/>
    <col min="13829" max="13829" width="19.225" style="177" customWidth="1"/>
    <col min="13830" max="13830" width="16.8916666666667" style="177" customWidth="1"/>
    <col min="13831" max="13831" width="22.6666666666667" style="177" customWidth="1"/>
    <col min="13832" max="13832" width="12.3333333333333" style="177" customWidth="1"/>
    <col min="13833" max="13833" width="12.225" style="177" customWidth="1"/>
    <col min="13834" max="13834" width="9.89166666666667" style="177" customWidth="1"/>
    <col min="13835" max="13835" width="11.225" style="177" customWidth="1"/>
    <col min="13836" max="13836" width="10.4416666666667" style="177" customWidth="1"/>
    <col min="13837" max="13837" width="12.775" style="177" customWidth="1"/>
    <col min="13838" max="13838" width="11.1083333333333" style="177" customWidth="1"/>
    <col min="13839" max="13839" width="10.4416666666667" style="177" customWidth="1"/>
    <col min="13840" max="13840" width="8.89166666666667" style="177"/>
    <col min="13841" max="13841" width="17.6666666666667" style="177" customWidth="1"/>
    <col min="13842" max="13842" width="12.6666666666667" style="177" customWidth="1"/>
    <col min="13843" max="13843" width="8.89166666666667" style="177"/>
    <col min="13844" max="13844" width="10.4416666666667" style="177" customWidth="1"/>
    <col min="13845" max="13845" width="12.6666666666667" style="177" customWidth="1"/>
    <col min="13846" max="14081" width="8.89166666666667" style="177"/>
    <col min="14082" max="14082" width="5.775" style="177" customWidth="1"/>
    <col min="14083" max="14083" width="21.5583333333333" style="177" customWidth="1"/>
    <col min="14084" max="14084" width="20.4416666666667" style="177" customWidth="1"/>
    <col min="14085" max="14085" width="19.225" style="177" customWidth="1"/>
    <col min="14086" max="14086" width="16.8916666666667" style="177" customWidth="1"/>
    <col min="14087" max="14087" width="22.6666666666667" style="177" customWidth="1"/>
    <col min="14088" max="14088" width="12.3333333333333" style="177" customWidth="1"/>
    <col min="14089" max="14089" width="12.225" style="177" customWidth="1"/>
    <col min="14090" max="14090" width="9.89166666666667" style="177" customWidth="1"/>
    <col min="14091" max="14091" width="11.225" style="177" customWidth="1"/>
    <col min="14092" max="14092" width="10.4416666666667" style="177" customWidth="1"/>
    <col min="14093" max="14093" width="12.775" style="177" customWidth="1"/>
    <col min="14094" max="14094" width="11.1083333333333" style="177" customWidth="1"/>
    <col min="14095" max="14095" width="10.4416666666667" style="177" customWidth="1"/>
    <col min="14096" max="14096" width="8.89166666666667" style="177"/>
    <col min="14097" max="14097" width="17.6666666666667" style="177" customWidth="1"/>
    <col min="14098" max="14098" width="12.6666666666667" style="177" customWidth="1"/>
    <col min="14099" max="14099" width="8.89166666666667" style="177"/>
    <col min="14100" max="14100" width="10.4416666666667" style="177" customWidth="1"/>
    <col min="14101" max="14101" width="12.6666666666667" style="177" customWidth="1"/>
    <col min="14102" max="14337" width="8.89166666666667" style="177"/>
    <col min="14338" max="14338" width="5.775" style="177" customWidth="1"/>
    <col min="14339" max="14339" width="21.5583333333333" style="177" customWidth="1"/>
    <col min="14340" max="14340" width="20.4416666666667" style="177" customWidth="1"/>
    <col min="14341" max="14341" width="19.225" style="177" customWidth="1"/>
    <col min="14342" max="14342" width="16.8916666666667" style="177" customWidth="1"/>
    <col min="14343" max="14343" width="22.6666666666667" style="177" customWidth="1"/>
    <col min="14344" max="14344" width="12.3333333333333" style="177" customWidth="1"/>
    <col min="14345" max="14345" width="12.225" style="177" customWidth="1"/>
    <col min="14346" max="14346" width="9.89166666666667" style="177" customWidth="1"/>
    <col min="14347" max="14347" width="11.225" style="177" customWidth="1"/>
    <col min="14348" max="14348" width="10.4416666666667" style="177" customWidth="1"/>
    <col min="14349" max="14349" width="12.775" style="177" customWidth="1"/>
    <col min="14350" max="14350" width="11.1083333333333" style="177" customWidth="1"/>
    <col min="14351" max="14351" width="10.4416666666667" style="177" customWidth="1"/>
    <col min="14352" max="14352" width="8.89166666666667" style="177"/>
    <col min="14353" max="14353" width="17.6666666666667" style="177" customWidth="1"/>
    <col min="14354" max="14354" width="12.6666666666667" style="177" customWidth="1"/>
    <col min="14355" max="14355" width="8.89166666666667" style="177"/>
    <col min="14356" max="14356" width="10.4416666666667" style="177" customWidth="1"/>
    <col min="14357" max="14357" width="12.6666666666667" style="177" customWidth="1"/>
    <col min="14358" max="14593" width="8.89166666666667" style="177"/>
    <col min="14594" max="14594" width="5.775" style="177" customWidth="1"/>
    <col min="14595" max="14595" width="21.5583333333333" style="177" customWidth="1"/>
    <col min="14596" max="14596" width="20.4416666666667" style="177" customWidth="1"/>
    <col min="14597" max="14597" width="19.225" style="177" customWidth="1"/>
    <col min="14598" max="14598" width="16.8916666666667" style="177" customWidth="1"/>
    <col min="14599" max="14599" width="22.6666666666667" style="177" customWidth="1"/>
    <col min="14600" max="14600" width="12.3333333333333" style="177" customWidth="1"/>
    <col min="14601" max="14601" width="12.225" style="177" customWidth="1"/>
    <col min="14602" max="14602" width="9.89166666666667" style="177" customWidth="1"/>
    <col min="14603" max="14603" width="11.225" style="177" customWidth="1"/>
    <col min="14604" max="14604" width="10.4416666666667" style="177" customWidth="1"/>
    <col min="14605" max="14605" width="12.775" style="177" customWidth="1"/>
    <col min="14606" max="14606" width="11.1083333333333" style="177" customWidth="1"/>
    <col min="14607" max="14607" width="10.4416666666667" style="177" customWidth="1"/>
    <col min="14608" max="14608" width="8.89166666666667" style="177"/>
    <col min="14609" max="14609" width="17.6666666666667" style="177" customWidth="1"/>
    <col min="14610" max="14610" width="12.6666666666667" style="177" customWidth="1"/>
    <col min="14611" max="14611" width="8.89166666666667" style="177"/>
    <col min="14612" max="14612" width="10.4416666666667" style="177" customWidth="1"/>
    <col min="14613" max="14613" width="12.6666666666667" style="177" customWidth="1"/>
    <col min="14614" max="14849" width="8.89166666666667" style="177"/>
    <col min="14850" max="14850" width="5.775" style="177" customWidth="1"/>
    <col min="14851" max="14851" width="21.5583333333333" style="177" customWidth="1"/>
    <col min="14852" max="14852" width="20.4416666666667" style="177" customWidth="1"/>
    <col min="14853" max="14853" width="19.225" style="177" customWidth="1"/>
    <col min="14854" max="14854" width="16.8916666666667" style="177" customWidth="1"/>
    <col min="14855" max="14855" width="22.6666666666667" style="177" customWidth="1"/>
    <col min="14856" max="14856" width="12.3333333333333" style="177" customWidth="1"/>
    <col min="14857" max="14857" width="12.225" style="177" customWidth="1"/>
    <col min="14858" max="14858" width="9.89166666666667" style="177" customWidth="1"/>
    <col min="14859" max="14859" width="11.225" style="177" customWidth="1"/>
    <col min="14860" max="14860" width="10.4416666666667" style="177" customWidth="1"/>
    <col min="14861" max="14861" width="12.775" style="177" customWidth="1"/>
    <col min="14862" max="14862" width="11.1083333333333" style="177" customWidth="1"/>
    <col min="14863" max="14863" width="10.4416666666667" style="177" customWidth="1"/>
    <col min="14864" max="14864" width="8.89166666666667" style="177"/>
    <col min="14865" max="14865" width="17.6666666666667" style="177" customWidth="1"/>
    <col min="14866" max="14866" width="12.6666666666667" style="177" customWidth="1"/>
    <col min="14867" max="14867" width="8.89166666666667" style="177"/>
    <col min="14868" max="14868" width="10.4416666666667" style="177" customWidth="1"/>
    <col min="14869" max="14869" width="12.6666666666667" style="177" customWidth="1"/>
    <col min="14870" max="15105" width="8.89166666666667" style="177"/>
    <col min="15106" max="15106" width="5.775" style="177" customWidth="1"/>
    <col min="15107" max="15107" width="21.5583333333333" style="177" customWidth="1"/>
    <col min="15108" max="15108" width="20.4416666666667" style="177" customWidth="1"/>
    <col min="15109" max="15109" width="19.225" style="177" customWidth="1"/>
    <col min="15110" max="15110" width="16.8916666666667" style="177" customWidth="1"/>
    <col min="15111" max="15111" width="22.6666666666667" style="177" customWidth="1"/>
    <col min="15112" max="15112" width="12.3333333333333" style="177" customWidth="1"/>
    <col min="15113" max="15113" width="12.225" style="177" customWidth="1"/>
    <col min="15114" max="15114" width="9.89166666666667" style="177" customWidth="1"/>
    <col min="15115" max="15115" width="11.225" style="177" customWidth="1"/>
    <col min="15116" max="15116" width="10.4416666666667" style="177" customWidth="1"/>
    <col min="15117" max="15117" width="12.775" style="177" customWidth="1"/>
    <col min="15118" max="15118" width="11.1083333333333" style="177" customWidth="1"/>
    <col min="15119" max="15119" width="10.4416666666667" style="177" customWidth="1"/>
    <col min="15120" max="15120" width="8.89166666666667" style="177"/>
    <col min="15121" max="15121" width="17.6666666666667" style="177" customWidth="1"/>
    <col min="15122" max="15122" width="12.6666666666667" style="177" customWidth="1"/>
    <col min="15123" max="15123" width="8.89166666666667" style="177"/>
    <col min="15124" max="15124" width="10.4416666666667" style="177" customWidth="1"/>
    <col min="15125" max="15125" width="12.6666666666667" style="177" customWidth="1"/>
    <col min="15126" max="15361" width="8.89166666666667" style="177"/>
    <col min="15362" max="15362" width="5.775" style="177" customWidth="1"/>
    <col min="15363" max="15363" width="21.5583333333333" style="177" customWidth="1"/>
    <col min="15364" max="15364" width="20.4416666666667" style="177" customWidth="1"/>
    <col min="15365" max="15365" width="19.225" style="177" customWidth="1"/>
    <col min="15366" max="15366" width="16.8916666666667" style="177" customWidth="1"/>
    <col min="15367" max="15367" width="22.6666666666667" style="177" customWidth="1"/>
    <col min="15368" max="15368" width="12.3333333333333" style="177" customWidth="1"/>
    <col min="15369" max="15369" width="12.225" style="177" customWidth="1"/>
    <col min="15370" max="15370" width="9.89166666666667" style="177" customWidth="1"/>
    <col min="15371" max="15371" width="11.225" style="177" customWidth="1"/>
    <col min="15372" max="15372" width="10.4416666666667" style="177" customWidth="1"/>
    <col min="15373" max="15373" width="12.775" style="177" customWidth="1"/>
    <col min="15374" max="15374" width="11.1083333333333" style="177" customWidth="1"/>
    <col min="15375" max="15375" width="10.4416666666667" style="177" customWidth="1"/>
    <col min="15376" max="15376" width="8.89166666666667" style="177"/>
    <col min="15377" max="15377" width="17.6666666666667" style="177" customWidth="1"/>
    <col min="15378" max="15378" width="12.6666666666667" style="177" customWidth="1"/>
    <col min="15379" max="15379" width="8.89166666666667" style="177"/>
    <col min="15380" max="15380" width="10.4416666666667" style="177" customWidth="1"/>
    <col min="15381" max="15381" width="12.6666666666667" style="177" customWidth="1"/>
    <col min="15382" max="15617" width="8.89166666666667" style="177"/>
    <col min="15618" max="15618" width="5.775" style="177" customWidth="1"/>
    <col min="15619" max="15619" width="21.5583333333333" style="177" customWidth="1"/>
    <col min="15620" max="15620" width="20.4416666666667" style="177" customWidth="1"/>
    <col min="15621" max="15621" width="19.225" style="177" customWidth="1"/>
    <col min="15622" max="15622" width="16.8916666666667" style="177" customWidth="1"/>
    <col min="15623" max="15623" width="22.6666666666667" style="177" customWidth="1"/>
    <col min="15624" max="15624" width="12.3333333333333" style="177" customWidth="1"/>
    <col min="15625" max="15625" width="12.225" style="177" customWidth="1"/>
    <col min="15626" max="15626" width="9.89166666666667" style="177" customWidth="1"/>
    <col min="15627" max="15627" width="11.225" style="177" customWidth="1"/>
    <col min="15628" max="15628" width="10.4416666666667" style="177" customWidth="1"/>
    <col min="15629" max="15629" width="12.775" style="177" customWidth="1"/>
    <col min="15630" max="15630" width="11.1083333333333" style="177" customWidth="1"/>
    <col min="15631" max="15631" width="10.4416666666667" style="177" customWidth="1"/>
    <col min="15632" max="15632" width="8.89166666666667" style="177"/>
    <col min="15633" max="15633" width="17.6666666666667" style="177" customWidth="1"/>
    <col min="15634" max="15634" width="12.6666666666667" style="177" customWidth="1"/>
    <col min="15635" max="15635" width="8.89166666666667" style="177"/>
    <col min="15636" max="15636" width="10.4416666666667" style="177" customWidth="1"/>
    <col min="15637" max="15637" width="12.6666666666667" style="177" customWidth="1"/>
    <col min="15638" max="15873" width="8.89166666666667" style="177"/>
    <col min="15874" max="15874" width="5.775" style="177" customWidth="1"/>
    <col min="15875" max="15875" width="21.5583333333333" style="177" customWidth="1"/>
    <col min="15876" max="15876" width="20.4416666666667" style="177" customWidth="1"/>
    <col min="15877" max="15877" width="19.225" style="177" customWidth="1"/>
    <col min="15878" max="15878" width="16.8916666666667" style="177" customWidth="1"/>
    <col min="15879" max="15879" width="22.6666666666667" style="177" customWidth="1"/>
    <col min="15880" max="15880" width="12.3333333333333" style="177" customWidth="1"/>
    <col min="15881" max="15881" width="12.225" style="177" customWidth="1"/>
    <col min="15882" max="15882" width="9.89166666666667" style="177" customWidth="1"/>
    <col min="15883" max="15883" width="11.225" style="177" customWidth="1"/>
    <col min="15884" max="15884" width="10.4416666666667" style="177" customWidth="1"/>
    <col min="15885" max="15885" width="12.775" style="177" customWidth="1"/>
    <col min="15886" max="15886" width="11.1083333333333" style="177" customWidth="1"/>
    <col min="15887" max="15887" width="10.4416666666667" style="177" customWidth="1"/>
    <col min="15888" max="15888" width="8.89166666666667" style="177"/>
    <col min="15889" max="15889" width="17.6666666666667" style="177" customWidth="1"/>
    <col min="15890" max="15890" width="12.6666666666667" style="177" customWidth="1"/>
    <col min="15891" max="15891" width="8.89166666666667" style="177"/>
    <col min="15892" max="15892" width="10.4416666666667" style="177" customWidth="1"/>
    <col min="15893" max="15893" width="12.6666666666667" style="177" customWidth="1"/>
    <col min="15894" max="16129" width="8.89166666666667" style="177"/>
    <col min="16130" max="16130" width="5.775" style="177" customWidth="1"/>
    <col min="16131" max="16131" width="21.5583333333333" style="177" customWidth="1"/>
    <col min="16132" max="16132" width="20.4416666666667" style="177" customWidth="1"/>
    <col min="16133" max="16133" width="19.225" style="177" customWidth="1"/>
    <col min="16134" max="16134" width="16.8916666666667" style="177" customWidth="1"/>
    <col min="16135" max="16135" width="22.6666666666667" style="177" customWidth="1"/>
    <col min="16136" max="16136" width="12.3333333333333" style="177" customWidth="1"/>
    <col min="16137" max="16137" width="12.225" style="177" customWidth="1"/>
    <col min="16138" max="16138" width="9.89166666666667" style="177" customWidth="1"/>
    <col min="16139" max="16139" width="11.225" style="177" customWidth="1"/>
    <col min="16140" max="16140" width="10.4416666666667" style="177" customWidth="1"/>
    <col min="16141" max="16141" width="12.775" style="177" customWidth="1"/>
    <col min="16142" max="16142" width="11.1083333333333" style="177" customWidth="1"/>
    <col min="16143" max="16143" width="10.4416666666667" style="177" customWidth="1"/>
    <col min="16144" max="16144" width="8.89166666666667" style="177"/>
    <col min="16145" max="16145" width="17.6666666666667" style="177" customWidth="1"/>
    <col min="16146" max="16146" width="12.6666666666667" style="177" customWidth="1"/>
    <col min="16147" max="16147" width="8.89166666666667" style="177"/>
    <col min="16148" max="16148" width="10.4416666666667" style="177" customWidth="1"/>
    <col min="16149" max="16149" width="12.6666666666667" style="177" customWidth="1"/>
    <col min="16150" max="16384" width="8.89166666666667" style="177"/>
  </cols>
  <sheetData>
    <row r="1" spans="1:21">
      <c r="A1" s="180" t="s">
        <v>398</v>
      </c>
      <c r="B1" s="181" t="s">
        <v>399</v>
      </c>
      <c r="C1" s="182"/>
      <c r="D1" s="182"/>
      <c r="E1" s="182"/>
      <c r="F1" s="182"/>
      <c r="G1" s="182"/>
      <c r="H1" s="182"/>
      <c r="I1" s="182"/>
      <c r="J1" s="182"/>
      <c r="K1" s="184"/>
      <c r="L1" s="185" t="s">
        <v>400</v>
      </c>
      <c r="M1" s="185" t="s">
        <v>401</v>
      </c>
      <c r="N1" s="185" t="s">
        <v>402</v>
      </c>
      <c r="O1" s="180" t="s">
        <v>403</v>
      </c>
      <c r="P1" s="196" t="s">
        <v>404</v>
      </c>
      <c r="Q1" s="202"/>
      <c r="R1" s="202"/>
      <c r="S1" s="202"/>
      <c r="T1" s="202"/>
      <c r="U1" s="202"/>
    </row>
    <row r="2" spans="1:21">
      <c r="A2" s="183"/>
      <c r="B2" s="181" t="s">
        <v>405</v>
      </c>
      <c r="C2" s="182"/>
      <c r="D2" s="182"/>
      <c r="E2" s="182"/>
      <c r="F2" s="184"/>
      <c r="G2" s="181" t="s">
        <v>406</v>
      </c>
      <c r="H2" s="182"/>
      <c r="I2" s="182"/>
      <c r="J2" s="182"/>
      <c r="K2" s="186" t="s">
        <v>407</v>
      </c>
      <c r="L2" s="185"/>
      <c r="M2" s="185"/>
      <c r="N2" s="185"/>
      <c r="O2" s="183"/>
      <c r="P2" s="184" t="s">
        <v>0</v>
      </c>
      <c r="Q2" s="187" t="s">
        <v>261</v>
      </c>
      <c r="R2" s="187" t="s">
        <v>408</v>
      </c>
      <c r="S2" s="187" t="s">
        <v>409</v>
      </c>
      <c r="T2" s="187" t="s">
        <v>406</v>
      </c>
      <c r="U2" s="187" t="s">
        <v>410</v>
      </c>
    </row>
    <row r="3" ht="42" spans="1:21">
      <c r="A3" s="183"/>
      <c r="B3" s="185" t="str">
        <f>收入成本!H1</f>
        <v>停车位收入</v>
      </c>
      <c r="C3" s="185" t="s">
        <v>346</v>
      </c>
      <c r="D3" s="185" t="str">
        <f>收入成本!L1</f>
        <v>充电桩收入</v>
      </c>
      <c r="E3" s="185" t="str">
        <f>收入成本!V1</f>
        <v>厂房出租收入</v>
      </c>
      <c r="F3" s="186" t="s">
        <v>411</v>
      </c>
      <c r="G3" s="187" t="s">
        <v>362</v>
      </c>
      <c r="H3" s="187" t="s">
        <v>412</v>
      </c>
      <c r="I3" s="186" t="s">
        <v>413</v>
      </c>
      <c r="J3" s="197" t="s">
        <v>414</v>
      </c>
      <c r="K3" s="183"/>
      <c r="L3" s="185"/>
      <c r="M3" s="185"/>
      <c r="N3" s="185"/>
      <c r="O3" s="183"/>
      <c r="P3" s="198">
        <v>1.1</v>
      </c>
      <c r="Q3" s="192" t="s">
        <v>22</v>
      </c>
      <c r="R3" s="203">
        <f>项目技术经济指标!D70</f>
        <v>17385.78</v>
      </c>
      <c r="S3" s="192" t="s">
        <v>39</v>
      </c>
      <c r="T3" s="203">
        <f>T4+T5</f>
        <v>1435.52</v>
      </c>
      <c r="U3" s="203">
        <f t="shared" ref="U3:U8" si="0">R3-T3</f>
        <v>15950.26</v>
      </c>
    </row>
    <row r="4" spans="1:21">
      <c r="A4" s="188"/>
      <c r="B4" s="189">
        <v>0.09</v>
      </c>
      <c r="C4" s="189"/>
      <c r="D4" s="190">
        <v>0.13</v>
      </c>
      <c r="E4" s="189">
        <v>0.09</v>
      </c>
      <c r="F4" s="191"/>
      <c r="G4" s="189">
        <v>0</v>
      </c>
      <c r="H4" s="189">
        <v>0</v>
      </c>
      <c r="I4" s="188"/>
      <c r="J4" s="199"/>
      <c r="K4" s="188"/>
      <c r="L4" s="189">
        <v>0.05</v>
      </c>
      <c r="M4" s="189">
        <v>0.05</v>
      </c>
      <c r="N4" s="189">
        <v>0.12</v>
      </c>
      <c r="O4" s="188"/>
      <c r="P4" s="198" t="s">
        <v>23</v>
      </c>
      <c r="Q4" s="192" t="s">
        <v>415</v>
      </c>
      <c r="R4" s="203">
        <f>项目技术经济指标!D71</f>
        <v>17385.78</v>
      </c>
      <c r="S4" s="204">
        <v>0.09</v>
      </c>
      <c r="T4" s="205">
        <f>ROUND(R4/(1+S4)*S4,2)</f>
        <v>1435.52</v>
      </c>
      <c r="U4" s="203">
        <f t="shared" si="0"/>
        <v>15950.26</v>
      </c>
    </row>
    <row r="5" spans="1:21">
      <c r="A5" s="192">
        <v>1</v>
      </c>
      <c r="B5" s="193">
        <f>ROUND(收入成本!G4/(1+$B$4)*$B$4,2)</f>
        <v>0</v>
      </c>
      <c r="C5" s="193"/>
      <c r="D5" s="193">
        <f>ROUND(收入成本!Q4/(1+$D$4)*$D$4,2)</f>
        <v>0</v>
      </c>
      <c r="E5" s="193">
        <f>ROUND(收入成本!Y4/(1+$E$4)*$E$4,2)</f>
        <v>0</v>
      </c>
      <c r="F5" s="193">
        <f t="shared" ref="F5:F36" si="1">SUM(B5:E5)</f>
        <v>0</v>
      </c>
      <c r="G5" s="193">
        <f>ROUND(收入成本!AE4/(1+$G$4)*$G$4,2)</f>
        <v>0</v>
      </c>
      <c r="H5" s="193">
        <f>ROUND(收入成本!AG4/(1+$H$4)*$H$4,2)</f>
        <v>0</v>
      </c>
      <c r="I5" s="193">
        <f t="shared" ref="I5:I36" si="2">G5+H5</f>
        <v>0</v>
      </c>
      <c r="J5" s="193">
        <f>T9</f>
        <v>1435.52</v>
      </c>
      <c r="K5" s="193"/>
      <c r="L5" s="193"/>
      <c r="M5" s="193"/>
      <c r="N5" s="200"/>
      <c r="O5" s="193">
        <f>SUM(K5:N5)</f>
        <v>0</v>
      </c>
      <c r="P5" s="198" t="s">
        <v>25</v>
      </c>
      <c r="Q5" s="192" t="s">
        <v>112</v>
      </c>
      <c r="R5" s="203">
        <f>项目技术经济指标!D72</f>
        <v>0</v>
      </c>
      <c r="S5" s="204">
        <v>0.13</v>
      </c>
      <c r="T5" s="205">
        <f>ROUND(R5/(1+S5)*S5,2)</f>
        <v>0</v>
      </c>
      <c r="U5" s="203">
        <f t="shared" si="0"/>
        <v>0</v>
      </c>
    </row>
    <row r="6" spans="1:21">
      <c r="A6" s="192">
        <v>2</v>
      </c>
      <c r="B6" s="193">
        <f>收入成本!K5/(1+$B$4)*$B$4</f>
        <v>2.55550458715596</v>
      </c>
      <c r="C6" s="193"/>
      <c r="D6" s="193">
        <f>ROUND(收入成本!Q5/(1+$D$4)*$D$4,2)</f>
        <v>6.56</v>
      </c>
      <c r="E6" s="193">
        <f>收入成本!Y5/(1+$E$4)*$E$4</f>
        <v>49.3984403669725</v>
      </c>
      <c r="F6" s="193">
        <f t="shared" si="1"/>
        <v>58.5139449541284</v>
      </c>
      <c r="G6" s="193">
        <f>ROUND(收入成本!AE5/(1+$G$4)*$G$4,2)</f>
        <v>0</v>
      </c>
      <c r="H6" s="193">
        <f>ROUND(收入成本!AG5/(1+$H$4)*$H$4,2)</f>
        <v>0</v>
      </c>
      <c r="I6" s="193">
        <f t="shared" si="2"/>
        <v>0</v>
      </c>
      <c r="J6" s="193">
        <f>IF((J5+H6+G6)-SUM(B6:E6)&lt;0,0,(J5+H6+G6)-SUM(B6:E6))</f>
        <v>1377.00605504587</v>
      </c>
      <c r="K6" s="193"/>
      <c r="L6" s="193"/>
      <c r="M6" s="193"/>
      <c r="N6" s="200">
        <f>ROUND(收入成本!Y5*$N$4,2)</f>
        <v>71.79</v>
      </c>
      <c r="O6" s="193">
        <f>SUM(K6:N6)</f>
        <v>71.79</v>
      </c>
      <c r="P6" s="198">
        <v>1.2</v>
      </c>
      <c r="Q6" s="192" t="s">
        <v>269</v>
      </c>
      <c r="R6" s="203">
        <f>项目技术经济指标!D73</f>
        <v>2754.06</v>
      </c>
      <c r="S6" s="204">
        <v>0</v>
      </c>
      <c r="T6" s="205">
        <f>ROUND(R6/(1+S6)*S6,2)</f>
        <v>0</v>
      </c>
      <c r="U6" s="203">
        <f t="shared" si="0"/>
        <v>2754.06</v>
      </c>
    </row>
    <row r="7" spans="1:21">
      <c r="A7" s="192">
        <v>3</v>
      </c>
      <c r="B7" s="193">
        <f>收入成本!K6/(1+$B$4)*$B$4</f>
        <v>2.87504587155963</v>
      </c>
      <c r="C7" s="193"/>
      <c r="D7" s="193">
        <f>ROUND(收入成本!Q6/(1+$D$4)*$D$4,2)</f>
        <v>8.75</v>
      </c>
      <c r="E7" s="193">
        <f>收入成本!Y6/(1+$E$4)*$E$4</f>
        <v>54.3385321100917</v>
      </c>
      <c r="F7" s="193">
        <f t="shared" si="1"/>
        <v>65.9635779816514</v>
      </c>
      <c r="G7" s="193">
        <f>ROUND(收入成本!AE6/(1+$G$4)*$G$4,2)</f>
        <v>0</v>
      </c>
      <c r="H7" s="193">
        <f>ROUND(收入成本!AG6/(1+$H$4)*$H$4,2)</f>
        <v>0</v>
      </c>
      <c r="I7" s="193">
        <f t="shared" si="2"/>
        <v>0</v>
      </c>
      <c r="J7" s="193">
        <f t="shared" ref="J7:J35" si="3">IF((J6+H7+G7)-SUM(B7:E7)&lt;0,0,(J6+H7+G7)-SUM(B7:E7))</f>
        <v>1311.04247706422</v>
      </c>
      <c r="K7" s="193">
        <f t="shared" ref="K7:K16" si="4">IF((J6+H7+G7)-SUM(B7:E7)&gt;0,0,SUM(B7:E7)-(J6+H7+G7))</f>
        <v>0</v>
      </c>
      <c r="L7" s="193">
        <f>ROUND(K7*$L$4,2)</f>
        <v>0</v>
      </c>
      <c r="M7" s="193">
        <f>ROUND(K7*$M$4,2)</f>
        <v>0</v>
      </c>
      <c r="N7" s="200">
        <f>ROUND(收入成本!Y6*$N$4,2)</f>
        <v>78.97</v>
      </c>
      <c r="O7" s="193">
        <f t="shared" ref="O7:O35" si="5">SUM(K7:N7)</f>
        <v>78.97</v>
      </c>
      <c r="P7" s="198">
        <v>1.3</v>
      </c>
      <c r="Q7" s="192" t="s">
        <v>28</v>
      </c>
      <c r="R7" s="203">
        <f>项目技术经济指标!D74</f>
        <v>1590.16</v>
      </c>
      <c r="S7" s="204">
        <v>0</v>
      </c>
      <c r="T7" s="205">
        <f>ROUND(R7/(1+S7)*S7,2)</f>
        <v>0</v>
      </c>
      <c r="U7" s="203">
        <f t="shared" si="0"/>
        <v>1590.16</v>
      </c>
    </row>
    <row r="8" spans="1:21">
      <c r="A8" s="192">
        <v>4</v>
      </c>
      <c r="B8" s="193">
        <f>收入成本!K7/(1+$B$4)*$B$4</f>
        <v>3.1945871559633</v>
      </c>
      <c r="C8" s="193"/>
      <c r="D8" s="193">
        <f>ROUND(收入成本!Q7/(1+$D$4)*$D$4,2)</f>
        <v>10.93</v>
      </c>
      <c r="E8" s="193">
        <f>收入成本!Y7/(1+$E$4)*$E$4</f>
        <v>59.2777981651376</v>
      </c>
      <c r="F8" s="193">
        <f t="shared" si="1"/>
        <v>73.4023853211009</v>
      </c>
      <c r="G8" s="193">
        <f>ROUND(收入成本!AE7/(1+$G$4)*$G$4,2)</f>
        <v>0</v>
      </c>
      <c r="H8" s="193">
        <f>ROUND(收入成本!AG7/(1+$H$4)*$H$4,2)</f>
        <v>0</v>
      </c>
      <c r="I8" s="193">
        <f t="shared" si="2"/>
        <v>0</v>
      </c>
      <c r="J8" s="193">
        <f t="shared" si="3"/>
        <v>1237.64009174312</v>
      </c>
      <c r="K8" s="193">
        <f t="shared" si="4"/>
        <v>0</v>
      </c>
      <c r="L8" s="193">
        <f t="shared" ref="L8:L36" si="6">ROUND(K8*$L$4,2)</f>
        <v>0</v>
      </c>
      <c r="M8" s="193">
        <f t="shared" ref="M8:M36" si="7">ROUND(K8*$M$4,2)</f>
        <v>0</v>
      </c>
      <c r="N8" s="200">
        <f>ROUND(收入成本!Y7*$N$4,2)</f>
        <v>86.15</v>
      </c>
      <c r="O8" s="193">
        <f t="shared" si="5"/>
        <v>86.15</v>
      </c>
      <c r="P8" s="198">
        <v>1.4</v>
      </c>
      <c r="Q8" s="192" t="s">
        <v>29</v>
      </c>
      <c r="R8" s="203">
        <f>项目技术经济指标!D75</f>
        <v>270</v>
      </c>
      <c r="S8" s="192">
        <v>0</v>
      </c>
      <c r="T8" s="205">
        <f>ROUND(R8/(1+S8)*S8,2)</f>
        <v>0</v>
      </c>
      <c r="U8" s="203">
        <f t="shared" si="0"/>
        <v>270</v>
      </c>
    </row>
    <row r="9" spans="1:21">
      <c r="A9" s="192">
        <v>5</v>
      </c>
      <c r="B9" s="193">
        <f>收入成本!K8/(1+$B$4)*$B$4</f>
        <v>3.83366972477064</v>
      </c>
      <c r="C9" s="193"/>
      <c r="D9" s="193">
        <f>ROUND(收入成本!Q8/(1+$D$4)*$D$4,2)</f>
        <v>12.03</v>
      </c>
      <c r="E9" s="193">
        <f>收入成本!Y8/(1+$E$4)*$E$4</f>
        <v>64.2178899082569</v>
      </c>
      <c r="F9" s="193">
        <f t="shared" si="1"/>
        <v>80.0815596330275</v>
      </c>
      <c r="G9" s="193">
        <f>ROUND(收入成本!AE8/(1+$G$4)*$G$4,2)</f>
        <v>0</v>
      </c>
      <c r="H9" s="193">
        <f>ROUND(收入成本!AG8/(1+$H$4)*$H$4,2)</f>
        <v>0</v>
      </c>
      <c r="I9" s="193">
        <f t="shared" si="2"/>
        <v>0</v>
      </c>
      <c r="J9" s="193">
        <f t="shared" si="3"/>
        <v>1157.55853211009</v>
      </c>
      <c r="K9" s="193">
        <f t="shared" si="4"/>
        <v>0</v>
      </c>
      <c r="L9" s="193">
        <f t="shared" si="6"/>
        <v>0</v>
      </c>
      <c r="M9" s="193">
        <f t="shared" si="7"/>
        <v>0</v>
      </c>
      <c r="N9" s="200">
        <f>ROUND(收入成本!Y8*$N$4,2)</f>
        <v>93.33</v>
      </c>
      <c r="O9" s="193">
        <f t="shared" si="5"/>
        <v>93.33</v>
      </c>
      <c r="P9" s="201">
        <v>1</v>
      </c>
      <c r="Q9" s="194" t="s">
        <v>19</v>
      </c>
      <c r="R9" s="206">
        <f>R3+R6+R7+R8</f>
        <v>22000</v>
      </c>
      <c r="S9" s="194"/>
      <c r="T9" s="207">
        <f>SUM(T4:T8)</f>
        <v>1435.52</v>
      </c>
      <c r="U9" s="206">
        <f>SUM(U4:U8)</f>
        <v>20564.48</v>
      </c>
    </row>
    <row r="10" spans="1:15">
      <c r="A10" s="192">
        <v>6</v>
      </c>
      <c r="B10" s="193">
        <f>收入成本!K9/(1+$B$4)*$B$4</f>
        <v>3.83366972477064</v>
      </c>
      <c r="C10" s="193"/>
      <c r="D10" s="193">
        <f>ROUND(收入成本!Q9/(1+$D$4)*$D$4,2)</f>
        <v>13.12</v>
      </c>
      <c r="E10" s="193">
        <f>收入成本!Y9/(1+$E$4)*$E$4</f>
        <v>69.1579816513761</v>
      </c>
      <c r="F10" s="193">
        <f t="shared" si="1"/>
        <v>86.1116513761468</v>
      </c>
      <c r="G10" s="193">
        <f>ROUND(收入成本!AE9/(1+$G$4)*$G$4,2)</f>
        <v>0</v>
      </c>
      <c r="H10" s="193">
        <f>ROUND(收入成本!AG9/(1+$H$4)*$H$4,2)</f>
        <v>0</v>
      </c>
      <c r="I10" s="193">
        <f t="shared" si="2"/>
        <v>0</v>
      </c>
      <c r="J10" s="193">
        <f t="shared" si="3"/>
        <v>1071.44688073395</v>
      </c>
      <c r="K10" s="193">
        <f t="shared" si="4"/>
        <v>0</v>
      </c>
      <c r="L10" s="193">
        <f t="shared" si="6"/>
        <v>0</v>
      </c>
      <c r="M10" s="193">
        <f t="shared" si="7"/>
        <v>0</v>
      </c>
      <c r="N10" s="200">
        <f>ROUND(收入成本!Y9*$N$4,2)</f>
        <v>100.51</v>
      </c>
      <c r="O10" s="193">
        <f t="shared" si="5"/>
        <v>100.51</v>
      </c>
    </row>
    <row r="11" spans="1:15">
      <c r="A11" s="192">
        <v>7</v>
      </c>
      <c r="B11" s="193">
        <f>收入成本!K10/(1+$B$4)*$B$4</f>
        <v>4.36045871559633</v>
      </c>
      <c r="C11" s="193"/>
      <c r="D11" s="193">
        <f>ROUND(收入成本!Q10/(1+$D$4)*$D$4,2)</f>
        <v>14.43</v>
      </c>
      <c r="E11" s="193">
        <f>收入成本!Y10/(1+$E$4)*$E$4</f>
        <v>77.8021100917431</v>
      </c>
      <c r="F11" s="193">
        <f t="shared" si="1"/>
        <v>96.5925688073394</v>
      </c>
      <c r="G11" s="193">
        <f>ROUND(收入成本!AE10/(1+$G$4)*$G$4,2)</f>
        <v>0</v>
      </c>
      <c r="H11" s="193">
        <f>ROUND(收入成本!AG10/(1+$H$4)*$H$4,2)</f>
        <v>0</v>
      </c>
      <c r="I11" s="193">
        <f t="shared" si="2"/>
        <v>0</v>
      </c>
      <c r="J11" s="193">
        <f t="shared" si="3"/>
        <v>974.854311926606</v>
      </c>
      <c r="K11" s="193">
        <f t="shared" si="4"/>
        <v>0</v>
      </c>
      <c r="L11" s="193">
        <f t="shared" si="6"/>
        <v>0</v>
      </c>
      <c r="M11" s="193">
        <f t="shared" si="7"/>
        <v>0</v>
      </c>
      <c r="N11" s="200">
        <f>ROUND(收入成本!Y10*$N$4,2)</f>
        <v>113.07</v>
      </c>
      <c r="O11" s="193">
        <f t="shared" si="5"/>
        <v>113.07</v>
      </c>
    </row>
    <row r="12" spans="1:15">
      <c r="A12" s="192">
        <v>8</v>
      </c>
      <c r="B12" s="193">
        <f>收入成本!K11/(1+$B$4)*$B$4</f>
        <v>4.36045871559633</v>
      </c>
      <c r="C12" s="193"/>
      <c r="D12" s="193">
        <f>ROUND(收入成本!Q11/(1+$D$4)*$D$4,2)</f>
        <v>14.43</v>
      </c>
      <c r="E12" s="193">
        <f>收入成本!Y11/(1+$E$4)*$E$4</f>
        <v>77.8021100917431</v>
      </c>
      <c r="F12" s="193">
        <f t="shared" si="1"/>
        <v>96.5925688073394</v>
      </c>
      <c r="G12" s="193">
        <f>ROUND(收入成本!AE11/(1+$G$4)*$G$4,2)</f>
        <v>0</v>
      </c>
      <c r="H12" s="193">
        <f>ROUND(收入成本!AG11/(1+$H$4)*$H$4,2)</f>
        <v>0</v>
      </c>
      <c r="I12" s="193">
        <f t="shared" si="2"/>
        <v>0</v>
      </c>
      <c r="J12" s="193">
        <f t="shared" si="3"/>
        <v>878.261743119266</v>
      </c>
      <c r="K12" s="193">
        <f t="shared" si="4"/>
        <v>0</v>
      </c>
      <c r="L12" s="193">
        <f t="shared" si="6"/>
        <v>0</v>
      </c>
      <c r="M12" s="193">
        <f t="shared" si="7"/>
        <v>0</v>
      </c>
      <c r="N12" s="200">
        <f>ROUND(收入成本!Y11*$N$4,2)</f>
        <v>113.07</v>
      </c>
      <c r="O12" s="193">
        <f t="shared" si="5"/>
        <v>113.07</v>
      </c>
    </row>
    <row r="13" spans="1:15">
      <c r="A13" s="192">
        <v>9</v>
      </c>
      <c r="B13" s="193">
        <f>收入成本!K12/(1+$B$4)*$B$4</f>
        <v>4.36045871559633</v>
      </c>
      <c r="C13" s="193"/>
      <c r="D13" s="193">
        <f>ROUND(收入成本!Q12/(1+$D$4)*$D$4,2)</f>
        <v>14.43</v>
      </c>
      <c r="E13" s="193">
        <f>收入成本!Y12/(1+$E$4)*$E$4</f>
        <v>77.8021100917431</v>
      </c>
      <c r="F13" s="193">
        <f t="shared" si="1"/>
        <v>96.5925688073394</v>
      </c>
      <c r="G13" s="193">
        <f>ROUND(收入成本!AE12/(1+$G$4)*$G$4,2)</f>
        <v>0</v>
      </c>
      <c r="H13" s="193">
        <f>ROUND(收入成本!AG12/(1+$H$4)*$H$4,2)</f>
        <v>0</v>
      </c>
      <c r="I13" s="193">
        <f t="shared" si="2"/>
        <v>0</v>
      </c>
      <c r="J13" s="193">
        <f t="shared" si="3"/>
        <v>781.669174311927</v>
      </c>
      <c r="K13" s="193">
        <f t="shared" si="4"/>
        <v>0</v>
      </c>
      <c r="L13" s="193">
        <f t="shared" si="6"/>
        <v>0</v>
      </c>
      <c r="M13" s="193">
        <f t="shared" si="7"/>
        <v>0</v>
      </c>
      <c r="N13" s="200">
        <f>ROUND(收入成本!Y12*$N$4,2)</f>
        <v>113.07</v>
      </c>
      <c r="O13" s="193">
        <f t="shared" si="5"/>
        <v>113.07</v>
      </c>
    </row>
    <row r="14" spans="1:15">
      <c r="A14" s="192">
        <v>10</v>
      </c>
      <c r="B14" s="193">
        <f>收入成本!K13/(1+$B$4)*$B$4</f>
        <v>4.36045871559633</v>
      </c>
      <c r="C14" s="193"/>
      <c r="D14" s="193">
        <f>ROUND(收入成本!Q13/(1+$D$4)*$D$4,2)</f>
        <v>14.43</v>
      </c>
      <c r="E14" s="193">
        <f>收入成本!Y13/(1+$E$4)*$E$4</f>
        <v>77.8021100917431</v>
      </c>
      <c r="F14" s="193">
        <f t="shared" si="1"/>
        <v>96.5925688073394</v>
      </c>
      <c r="G14" s="193">
        <f>ROUND(收入成本!AE13/(1+$G$4)*$G$4,2)</f>
        <v>0</v>
      </c>
      <c r="H14" s="193">
        <f>ROUND(收入成本!AG13/(1+$H$4)*$H$4,2)</f>
        <v>0</v>
      </c>
      <c r="I14" s="193">
        <f t="shared" si="2"/>
        <v>0</v>
      </c>
      <c r="J14" s="193">
        <f t="shared" si="3"/>
        <v>685.076605504588</v>
      </c>
      <c r="K14" s="193">
        <f t="shared" si="4"/>
        <v>0</v>
      </c>
      <c r="L14" s="193">
        <f t="shared" si="6"/>
        <v>0</v>
      </c>
      <c r="M14" s="193">
        <f t="shared" si="7"/>
        <v>0</v>
      </c>
      <c r="N14" s="200">
        <f>ROUND(收入成本!Y13*$N$4,2)</f>
        <v>113.07</v>
      </c>
      <c r="O14" s="193">
        <f t="shared" si="5"/>
        <v>113.07</v>
      </c>
    </row>
    <row r="15" spans="1:15">
      <c r="A15" s="192">
        <v>11</v>
      </c>
      <c r="B15" s="193">
        <f>收入成本!K14/(1+$B$4)*$B$4</f>
        <v>4.36045871559633</v>
      </c>
      <c r="C15" s="193"/>
      <c r="D15" s="193">
        <f>ROUND(收入成本!Q14/(1+$D$4)*$D$4,2)</f>
        <v>14.43</v>
      </c>
      <c r="E15" s="193">
        <f>收入成本!Y14/(1+$E$4)*$E$4</f>
        <v>77.8021100917431</v>
      </c>
      <c r="F15" s="193">
        <f t="shared" si="1"/>
        <v>96.5925688073394</v>
      </c>
      <c r="G15" s="193">
        <f>ROUND(收入成本!AE14/(1+$G$4)*$G$4,2)</f>
        <v>0</v>
      </c>
      <c r="H15" s="193">
        <f>ROUND(收入成本!AG14/(1+$H$4)*$H$4,2)</f>
        <v>0</v>
      </c>
      <c r="I15" s="193">
        <f t="shared" si="2"/>
        <v>0</v>
      </c>
      <c r="J15" s="193">
        <f t="shared" si="3"/>
        <v>588.484036697248</v>
      </c>
      <c r="K15" s="193">
        <f t="shared" si="4"/>
        <v>0</v>
      </c>
      <c r="L15" s="193">
        <f t="shared" si="6"/>
        <v>0</v>
      </c>
      <c r="M15" s="193">
        <f t="shared" si="7"/>
        <v>0</v>
      </c>
      <c r="N15" s="200">
        <f>ROUND(收入成本!Y14*$N$4,2)</f>
        <v>113.07</v>
      </c>
      <c r="O15" s="193">
        <f t="shared" si="5"/>
        <v>113.07</v>
      </c>
    </row>
    <row r="16" spans="1:15">
      <c r="A16" s="192">
        <v>12</v>
      </c>
      <c r="B16" s="193">
        <f>收入成本!K15/(1+$B$4)*$B$4</f>
        <v>4.57844036697248</v>
      </c>
      <c r="C16" s="193"/>
      <c r="D16" s="193">
        <f>ROUND(收入成本!Q15/(1+$D$4)*$D$4,2)</f>
        <v>15.88</v>
      </c>
      <c r="E16" s="193">
        <f>收入成本!Y15/(1+$E$4)*$E$4</f>
        <v>81.6977064220183</v>
      </c>
      <c r="F16" s="193">
        <f t="shared" si="1"/>
        <v>102.156146788991</v>
      </c>
      <c r="G16" s="193">
        <f>ROUND(收入成本!AE15/(1+$G$4)*$G$4,2)</f>
        <v>0</v>
      </c>
      <c r="H16" s="193">
        <f>ROUND(收入成本!AG15/(1+$H$4)*$H$4,2)</f>
        <v>0</v>
      </c>
      <c r="I16" s="193">
        <f t="shared" si="2"/>
        <v>0</v>
      </c>
      <c r="J16" s="193">
        <f t="shared" si="3"/>
        <v>486.327889908257</v>
      </c>
      <c r="K16" s="193">
        <f t="shared" si="4"/>
        <v>0</v>
      </c>
      <c r="L16" s="193">
        <f t="shared" si="6"/>
        <v>0</v>
      </c>
      <c r="M16" s="193">
        <f t="shared" si="7"/>
        <v>0</v>
      </c>
      <c r="N16" s="200">
        <f>ROUND(收入成本!Y15*$N$4,2)</f>
        <v>118.73</v>
      </c>
      <c r="O16" s="193">
        <f t="shared" si="5"/>
        <v>118.73</v>
      </c>
    </row>
    <row r="17" spans="1:15">
      <c r="A17" s="192">
        <v>13</v>
      </c>
      <c r="B17" s="193">
        <f>收入成本!K16/(1+$B$4)*$B$4</f>
        <v>4.57844036697248</v>
      </c>
      <c r="C17" s="193"/>
      <c r="D17" s="193">
        <f>ROUND(收入成本!Q16/(1+$D$4)*$D$4,2)</f>
        <v>15.88</v>
      </c>
      <c r="E17" s="193">
        <f>收入成本!Y16/(1+$E$4)*$E$4</f>
        <v>81.6977064220183</v>
      </c>
      <c r="F17" s="193">
        <f t="shared" si="1"/>
        <v>102.156146788991</v>
      </c>
      <c r="G17" s="193">
        <f>ROUND(收入成本!AE16/(1+$G$4)*$G$4,2)</f>
        <v>0</v>
      </c>
      <c r="H17" s="193">
        <f>ROUND(收入成本!AG16/(1+$H$4)*$H$4,2)</f>
        <v>0</v>
      </c>
      <c r="I17" s="193">
        <f t="shared" si="2"/>
        <v>0</v>
      </c>
      <c r="J17" s="193">
        <f t="shared" si="3"/>
        <v>384.171743119267</v>
      </c>
      <c r="K17" s="193">
        <f t="shared" ref="K17:K35" si="8">IF((J16+H17+G17)-SUM(B17:E17)&gt;0,0,SUM(B17:E17)-(J16+H17+G17))</f>
        <v>0</v>
      </c>
      <c r="L17" s="193">
        <f t="shared" si="6"/>
        <v>0</v>
      </c>
      <c r="M17" s="193">
        <f t="shared" si="7"/>
        <v>0</v>
      </c>
      <c r="N17" s="200">
        <f>ROUND(收入成本!Y16*$N$4,2)</f>
        <v>118.73</v>
      </c>
      <c r="O17" s="193">
        <f t="shared" si="5"/>
        <v>118.73</v>
      </c>
    </row>
    <row r="18" spans="1:15">
      <c r="A18" s="192">
        <v>14</v>
      </c>
      <c r="B18" s="193">
        <f>收入成本!K17/(1+$B$4)*$B$4</f>
        <v>4.57844036697248</v>
      </c>
      <c r="C18" s="193"/>
      <c r="D18" s="193">
        <f>ROUND(收入成本!Q17/(1+$D$4)*$D$4,2)</f>
        <v>15.88</v>
      </c>
      <c r="E18" s="193">
        <f>收入成本!Y17/(1+$E$4)*$E$4</f>
        <v>81.6977064220183</v>
      </c>
      <c r="F18" s="193">
        <f t="shared" si="1"/>
        <v>102.156146788991</v>
      </c>
      <c r="G18" s="193">
        <f>ROUND(收入成本!AE17/(1+$G$4)*$G$4,2)</f>
        <v>0</v>
      </c>
      <c r="H18" s="193">
        <f>ROUND(收入成本!AG17/(1+$H$4)*$H$4,2)</f>
        <v>0</v>
      </c>
      <c r="I18" s="193">
        <f t="shared" si="2"/>
        <v>0</v>
      </c>
      <c r="J18" s="193">
        <f t="shared" si="3"/>
        <v>282.015596330276</v>
      </c>
      <c r="K18" s="193">
        <f t="shared" si="8"/>
        <v>0</v>
      </c>
      <c r="L18" s="193">
        <f t="shared" si="6"/>
        <v>0</v>
      </c>
      <c r="M18" s="193">
        <f t="shared" si="7"/>
        <v>0</v>
      </c>
      <c r="N18" s="200">
        <f>ROUND(收入成本!Y17*$N$4,2)</f>
        <v>118.73</v>
      </c>
      <c r="O18" s="193">
        <f t="shared" si="5"/>
        <v>118.73</v>
      </c>
    </row>
    <row r="19" spans="1:15">
      <c r="A19" s="192">
        <v>15</v>
      </c>
      <c r="B19" s="193">
        <f>收入成本!K18/(1+$B$4)*$B$4</f>
        <v>4.57844036697248</v>
      </c>
      <c r="C19" s="193"/>
      <c r="D19" s="193">
        <f>ROUND(收入成本!Q18/(1+$D$4)*$D$4,2)</f>
        <v>15.88</v>
      </c>
      <c r="E19" s="193">
        <f>收入成本!Y18/(1+$E$4)*$E$4</f>
        <v>81.6977064220183</v>
      </c>
      <c r="F19" s="193">
        <f t="shared" si="1"/>
        <v>102.156146788991</v>
      </c>
      <c r="G19" s="193">
        <f>ROUND(收入成本!AE18/(1+$G$4)*$G$4,2)</f>
        <v>0</v>
      </c>
      <c r="H19" s="193">
        <f>ROUND(收入成本!AG18/(1+$H$4)*$H$4,2)</f>
        <v>0</v>
      </c>
      <c r="I19" s="193">
        <f t="shared" si="2"/>
        <v>0</v>
      </c>
      <c r="J19" s="193">
        <f t="shared" si="3"/>
        <v>179.859449541285</v>
      </c>
      <c r="K19" s="193">
        <f t="shared" si="8"/>
        <v>0</v>
      </c>
      <c r="L19" s="193">
        <f t="shared" si="6"/>
        <v>0</v>
      </c>
      <c r="M19" s="193">
        <f t="shared" si="7"/>
        <v>0</v>
      </c>
      <c r="N19" s="200">
        <f>ROUND(收入成本!Y18*$N$4,2)</f>
        <v>118.73</v>
      </c>
      <c r="O19" s="193">
        <f t="shared" si="5"/>
        <v>118.73</v>
      </c>
    </row>
    <row r="20" spans="1:15">
      <c r="A20" s="192">
        <v>16</v>
      </c>
      <c r="B20" s="193">
        <f>收入成本!K19/(1+$B$4)*$B$4</f>
        <v>4.57844036697248</v>
      </c>
      <c r="C20" s="193"/>
      <c r="D20" s="193">
        <f>ROUND(收入成本!Q19/(1+$D$4)*$D$4,2)</f>
        <v>15.88</v>
      </c>
      <c r="E20" s="193">
        <f>收入成本!Y19/(1+$E$4)*$E$4</f>
        <v>81.6977064220183</v>
      </c>
      <c r="F20" s="193">
        <f t="shared" si="1"/>
        <v>102.156146788991</v>
      </c>
      <c r="G20" s="193">
        <f>ROUND(收入成本!AE19/(1+$G$4)*$G$4,2)</f>
        <v>0</v>
      </c>
      <c r="H20" s="193">
        <f>ROUND(收入成本!AG19/(1+$H$4)*$H$4,2)</f>
        <v>0</v>
      </c>
      <c r="I20" s="193">
        <f t="shared" si="2"/>
        <v>0</v>
      </c>
      <c r="J20" s="193">
        <f t="shared" si="3"/>
        <v>77.7033027522941</v>
      </c>
      <c r="K20" s="193">
        <f t="shared" si="8"/>
        <v>0</v>
      </c>
      <c r="L20" s="193">
        <f t="shared" si="6"/>
        <v>0</v>
      </c>
      <c r="M20" s="193">
        <f t="shared" si="7"/>
        <v>0</v>
      </c>
      <c r="N20" s="200">
        <f>ROUND(收入成本!Y19*$N$4,2)</f>
        <v>118.73</v>
      </c>
      <c r="O20" s="193">
        <f t="shared" si="5"/>
        <v>118.73</v>
      </c>
    </row>
    <row r="21" spans="1:15">
      <c r="A21" s="192">
        <v>17</v>
      </c>
      <c r="B21" s="193">
        <f>收入成本!K20/(1+$B$4)*$B$4</f>
        <v>4.80715596330275</v>
      </c>
      <c r="C21" s="193"/>
      <c r="D21" s="193">
        <f>ROUND(收入成本!Q20/(1+$D$4)*$D$4,2)</f>
        <v>17.46</v>
      </c>
      <c r="E21" s="193">
        <f>收入成本!Y20/(1+$E$4)*$E$4</f>
        <v>85.7840366972477</v>
      </c>
      <c r="F21" s="193">
        <f t="shared" si="1"/>
        <v>108.05119266055</v>
      </c>
      <c r="G21" s="193">
        <f>ROUND(收入成本!AE20/(1+$G$4)*$G$4,2)</f>
        <v>0</v>
      </c>
      <c r="H21" s="193">
        <f>ROUND(收入成本!AG20/(1+$H$4)*$H$4,2)</f>
        <v>0</v>
      </c>
      <c r="I21" s="193">
        <f t="shared" si="2"/>
        <v>0</v>
      </c>
      <c r="J21" s="193">
        <f t="shared" si="3"/>
        <v>0</v>
      </c>
      <c r="K21" s="193">
        <f t="shared" si="8"/>
        <v>30.3478899082564</v>
      </c>
      <c r="L21" s="193">
        <f t="shared" si="6"/>
        <v>1.52</v>
      </c>
      <c r="M21" s="193">
        <f t="shared" si="7"/>
        <v>1.52</v>
      </c>
      <c r="N21" s="200">
        <f>ROUND(收入成本!Y20*$N$4,2)</f>
        <v>124.67</v>
      </c>
      <c r="O21" s="193">
        <f t="shared" si="5"/>
        <v>158.057889908256</v>
      </c>
    </row>
    <row r="22" spans="1:15">
      <c r="A22" s="192">
        <v>18</v>
      </c>
      <c r="B22" s="193">
        <f>收入成本!K21/(1+$B$4)*$B$4</f>
        <v>4.80715596330275</v>
      </c>
      <c r="C22" s="193"/>
      <c r="D22" s="193">
        <f>ROUND(收入成本!Q21/(1+$D$4)*$D$4,2)</f>
        <v>17.46</v>
      </c>
      <c r="E22" s="193">
        <f>收入成本!Y21/(1+$E$4)*$E$4</f>
        <v>85.7840366972477</v>
      </c>
      <c r="F22" s="193">
        <f t="shared" si="1"/>
        <v>108.05119266055</v>
      </c>
      <c r="G22" s="193">
        <f>ROUND(收入成本!AE21/(1+$G$4)*$G$4,2)</f>
        <v>0</v>
      </c>
      <c r="H22" s="193">
        <f>ROUND(收入成本!AG21/(1+$H$4)*$H$4,2)</f>
        <v>0</v>
      </c>
      <c r="I22" s="193">
        <f t="shared" si="2"/>
        <v>0</v>
      </c>
      <c r="J22" s="193">
        <f t="shared" si="3"/>
        <v>0</v>
      </c>
      <c r="K22" s="193">
        <f t="shared" si="8"/>
        <v>108.05119266055</v>
      </c>
      <c r="L22" s="193">
        <f t="shared" si="6"/>
        <v>5.4</v>
      </c>
      <c r="M22" s="193">
        <f t="shared" si="7"/>
        <v>5.4</v>
      </c>
      <c r="N22" s="200">
        <f>ROUND(收入成本!Y21*$N$4,2)</f>
        <v>124.67</v>
      </c>
      <c r="O22" s="193">
        <f t="shared" si="5"/>
        <v>243.52119266055</v>
      </c>
    </row>
    <row r="23" spans="1:15">
      <c r="A23" s="192">
        <v>19</v>
      </c>
      <c r="B23" s="193">
        <f>收入成本!K22/(1+$B$4)*$B$4</f>
        <v>4.80715596330275</v>
      </c>
      <c r="C23" s="193"/>
      <c r="D23" s="193">
        <f>ROUND(收入成本!Q22/(1+$D$4)*$D$4,2)</f>
        <v>17.46</v>
      </c>
      <c r="E23" s="193">
        <f>收入成本!Y22/(1+$E$4)*$E$4</f>
        <v>85.7840366972477</v>
      </c>
      <c r="F23" s="193">
        <f t="shared" si="1"/>
        <v>108.05119266055</v>
      </c>
      <c r="G23" s="193">
        <f>ROUND(收入成本!AE22/(1+$G$4)*$G$4,2)</f>
        <v>0</v>
      </c>
      <c r="H23" s="193">
        <f>ROUND(收入成本!AG22/(1+$H$4)*$H$4,2)</f>
        <v>0</v>
      </c>
      <c r="I23" s="193">
        <f t="shared" si="2"/>
        <v>0</v>
      </c>
      <c r="J23" s="193">
        <f t="shared" si="3"/>
        <v>0</v>
      </c>
      <c r="K23" s="193">
        <f t="shared" si="8"/>
        <v>108.05119266055</v>
      </c>
      <c r="L23" s="193">
        <f t="shared" si="6"/>
        <v>5.4</v>
      </c>
      <c r="M23" s="193">
        <f t="shared" si="7"/>
        <v>5.4</v>
      </c>
      <c r="N23" s="200">
        <f>ROUND(收入成本!Y22*$N$4,2)</f>
        <v>124.67</v>
      </c>
      <c r="O23" s="193">
        <f t="shared" si="5"/>
        <v>243.52119266055</v>
      </c>
    </row>
    <row r="24" spans="1:15">
      <c r="A24" s="192">
        <v>20</v>
      </c>
      <c r="B24" s="193">
        <f>收入成本!K23/(1+$B$4)*$B$4</f>
        <v>4.80715596330275</v>
      </c>
      <c r="C24" s="193"/>
      <c r="D24" s="193">
        <f>ROUND(收入成本!Q23/(1+$D$4)*$D$4,2)</f>
        <v>17.46</v>
      </c>
      <c r="E24" s="193">
        <f>收入成本!Y23/(1+$E$4)*$E$4</f>
        <v>85.7840366972477</v>
      </c>
      <c r="F24" s="193">
        <f t="shared" si="1"/>
        <v>108.05119266055</v>
      </c>
      <c r="G24" s="193">
        <f>ROUND(收入成本!AE23/(1+$G$4)*$G$4,2)</f>
        <v>0</v>
      </c>
      <c r="H24" s="193">
        <f>ROUND(收入成本!AG23/(1+$H$4)*$H$4,2)</f>
        <v>0</v>
      </c>
      <c r="I24" s="193">
        <f t="shared" si="2"/>
        <v>0</v>
      </c>
      <c r="J24" s="193">
        <f t="shared" si="3"/>
        <v>0</v>
      </c>
      <c r="K24" s="193">
        <f t="shared" si="8"/>
        <v>108.05119266055</v>
      </c>
      <c r="L24" s="193">
        <f t="shared" si="6"/>
        <v>5.4</v>
      </c>
      <c r="M24" s="193">
        <f t="shared" si="7"/>
        <v>5.4</v>
      </c>
      <c r="N24" s="200">
        <f>ROUND(收入成本!Y23*$N$4,2)</f>
        <v>124.67</v>
      </c>
      <c r="O24" s="193">
        <f t="shared" si="5"/>
        <v>243.52119266055</v>
      </c>
    </row>
    <row r="25" spans="1:15">
      <c r="A25" s="192">
        <v>21</v>
      </c>
      <c r="B25" s="193">
        <f>收入成本!K24/(1+$B$4)*$B$4</f>
        <v>4.80715596330275</v>
      </c>
      <c r="C25" s="193"/>
      <c r="D25" s="193">
        <f>ROUND(收入成本!Q24/(1+$D$4)*$D$4,2)</f>
        <v>17.46</v>
      </c>
      <c r="E25" s="193">
        <f>收入成本!Y24/(1+$E$4)*$E$4</f>
        <v>85.7840366972477</v>
      </c>
      <c r="F25" s="193">
        <f t="shared" si="1"/>
        <v>108.05119266055</v>
      </c>
      <c r="G25" s="193">
        <f>ROUND(收入成本!AE24/(1+$G$4)*$G$4,2)</f>
        <v>0</v>
      </c>
      <c r="H25" s="193">
        <f>ROUND(收入成本!AG24/(1+$H$4)*$H$4,2)</f>
        <v>0</v>
      </c>
      <c r="I25" s="193">
        <f t="shared" si="2"/>
        <v>0</v>
      </c>
      <c r="J25" s="193">
        <f t="shared" si="3"/>
        <v>0</v>
      </c>
      <c r="K25" s="193">
        <f t="shared" si="8"/>
        <v>108.05119266055</v>
      </c>
      <c r="L25" s="193">
        <f t="shared" si="6"/>
        <v>5.4</v>
      </c>
      <c r="M25" s="193">
        <f t="shared" si="7"/>
        <v>5.4</v>
      </c>
      <c r="N25" s="200">
        <f>ROUND(收入成本!Y24*$N$4,2)</f>
        <v>124.67</v>
      </c>
      <c r="O25" s="193">
        <f t="shared" si="5"/>
        <v>243.52119266055</v>
      </c>
    </row>
    <row r="26" spans="1:15">
      <c r="A26" s="192">
        <v>22</v>
      </c>
      <c r="B26" s="193">
        <f>收入成本!K25/(1+$B$4)*$B$4</f>
        <v>5.04577981651376</v>
      </c>
      <c r="C26" s="193"/>
      <c r="D26" s="193">
        <f>ROUND(收入成本!Q25/(1+$D$4)*$D$4,2)</f>
        <v>19.21</v>
      </c>
      <c r="E26" s="193">
        <f>收入成本!Y25/(1+$E$4)*$E$4</f>
        <v>90.0817431192661</v>
      </c>
      <c r="F26" s="193">
        <f t="shared" si="1"/>
        <v>114.33752293578</v>
      </c>
      <c r="G26" s="193">
        <f>ROUND(收入成本!AE25/(1+$G$4)*$G$4,2)</f>
        <v>0</v>
      </c>
      <c r="H26" s="193">
        <f>ROUND(收入成本!AG25/(1+$H$4)*$H$4,2)</f>
        <v>0</v>
      </c>
      <c r="I26" s="193">
        <f t="shared" si="2"/>
        <v>0</v>
      </c>
      <c r="J26" s="193">
        <f t="shared" si="3"/>
        <v>0</v>
      </c>
      <c r="K26" s="193">
        <f t="shared" si="8"/>
        <v>114.33752293578</v>
      </c>
      <c r="L26" s="193">
        <f t="shared" si="6"/>
        <v>5.72</v>
      </c>
      <c r="M26" s="193">
        <f t="shared" si="7"/>
        <v>5.72</v>
      </c>
      <c r="N26" s="200">
        <f>ROUND(收入成本!Y25*$N$4,2)</f>
        <v>130.92</v>
      </c>
      <c r="O26" s="193">
        <f t="shared" si="5"/>
        <v>256.69752293578</v>
      </c>
    </row>
    <row r="27" spans="1:15">
      <c r="A27" s="192">
        <v>23</v>
      </c>
      <c r="B27" s="193">
        <f>收入成本!K26/(1+$B$4)*$B$4</f>
        <v>5.04577981651376</v>
      </c>
      <c r="C27" s="193"/>
      <c r="D27" s="193">
        <f>ROUND(收入成本!Q26/(1+$D$4)*$D$4,2)</f>
        <v>19.21</v>
      </c>
      <c r="E27" s="193">
        <f>收入成本!Y26/(1+$E$4)*$E$4</f>
        <v>90.0817431192661</v>
      </c>
      <c r="F27" s="193">
        <f t="shared" si="1"/>
        <v>114.33752293578</v>
      </c>
      <c r="G27" s="193">
        <f>ROUND(收入成本!AE26/(1+$G$4)*$G$4,2)</f>
        <v>0</v>
      </c>
      <c r="H27" s="193">
        <f>ROUND(收入成本!AG26/(1+$H$4)*$H$4,2)</f>
        <v>0</v>
      </c>
      <c r="I27" s="193">
        <f t="shared" si="2"/>
        <v>0</v>
      </c>
      <c r="J27" s="193">
        <f t="shared" si="3"/>
        <v>0</v>
      </c>
      <c r="K27" s="193">
        <f t="shared" si="8"/>
        <v>114.33752293578</v>
      </c>
      <c r="L27" s="193">
        <f t="shared" si="6"/>
        <v>5.72</v>
      </c>
      <c r="M27" s="193">
        <f t="shared" si="7"/>
        <v>5.72</v>
      </c>
      <c r="N27" s="200">
        <f>ROUND(收入成本!Y26*$N$4,2)</f>
        <v>130.92</v>
      </c>
      <c r="O27" s="193">
        <f t="shared" si="5"/>
        <v>256.69752293578</v>
      </c>
    </row>
    <row r="28" spans="1:15">
      <c r="A28" s="192">
        <v>24</v>
      </c>
      <c r="B28" s="193">
        <f>收入成本!K27/(1+$B$4)*$B$4</f>
        <v>5.04577981651376</v>
      </c>
      <c r="C28" s="193"/>
      <c r="D28" s="193">
        <f>ROUND(收入成本!Q27/(1+$D$4)*$D$4,2)</f>
        <v>19.21</v>
      </c>
      <c r="E28" s="193">
        <f>收入成本!Y27/(1+$E$4)*$E$4</f>
        <v>90.0817431192661</v>
      </c>
      <c r="F28" s="193">
        <f t="shared" si="1"/>
        <v>114.33752293578</v>
      </c>
      <c r="G28" s="193">
        <f>ROUND(收入成本!AE27/(1+$G$4)*$G$4,2)</f>
        <v>0</v>
      </c>
      <c r="H28" s="193">
        <f>ROUND(收入成本!AG27/(1+$H$4)*$H$4,2)</f>
        <v>0</v>
      </c>
      <c r="I28" s="193">
        <f t="shared" si="2"/>
        <v>0</v>
      </c>
      <c r="J28" s="193">
        <f t="shared" si="3"/>
        <v>0</v>
      </c>
      <c r="K28" s="193">
        <f t="shared" si="8"/>
        <v>114.33752293578</v>
      </c>
      <c r="L28" s="193">
        <f t="shared" si="6"/>
        <v>5.72</v>
      </c>
      <c r="M28" s="193">
        <f t="shared" si="7"/>
        <v>5.72</v>
      </c>
      <c r="N28" s="200">
        <f>ROUND(收入成本!Y27*$N$4,2)</f>
        <v>130.92</v>
      </c>
      <c r="O28" s="193">
        <f t="shared" si="5"/>
        <v>256.69752293578</v>
      </c>
    </row>
    <row r="29" spans="1:15">
      <c r="A29" s="192">
        <v>25</v>
      </c>
      <c r="B29" s="193">
        <f>收入成本!K28/(1+$B$4)*$B$4</f>
        <v>5.04577981651376</v>
      </c>
      <c r="C29" s="193"/>
      <c r="D29" s="193">
        <f>ROUND(收入成本!Q28/(1+$D$4)*$D$4,2)</f>
        <v>19.21</v>
      </c>
      <c r="E29" s="193">
        <f>收入成本!Y28/(1+$E$4)*$E$4</f>
        <v>90.0817431192661</v>
      </c>
      <c r="F29" s="193">
        <f t="shared" si="1"/>
        <v>114.33752293578</v>
      </c>
      <c r="G29" s="193">
        <f>ROUND(收入成本!AE28/(1+$G$4)*$G$4,2)</f>
        <v>0</v>
      </c>
      <c r="H29" s="193">
        <f>ROUND(收入成本!AG28/(1+$H$4)*$H$4,2)</f>
        <v>0</v>
      </c>
      <c r="I29" s="193">
        <f t="shared" si="2"/>
        <v>0</v>
      </c>
      <c r="J29" s="193">
        <f t="shared" si="3"/>
        <v>0</v>
      </c>
      <c r="K29" s="193">
        <f t="shared" si="8"/>
        <v>114.33752293578</v>
      </c>
      <c r="L29" s="193">
        <f t="shared" si="6"/>
        <v>5.72</v>
      </c>
      <c r="M29" s="193">
        <f t="shared" si="7"/>
        <v>5.72</v>
      </c>
      <c r="N29" s="200">
        <f>ROUND(收入成本!Y28*$N$4,2)</f>
        <v>130.92</v>
      </c>
      <c r="O29" s="193">
        <f t="shared" si="5"/>
        <v>256.69752293578</v>
      </c>
    </row>
    <row r="30" spans="1:15">
      <c r="A30" s="192">
        <v>26</v>
      </c>
      <c r="B30" s="193">
        <f>收入成本!K29/(1+$B$4)*$B$4</f>
        <v>5.04577981651376</v>
      </c>
      <c r="C30" s="193"/>
      <c r="D30" s="193">
        <f>ROUND(收入成本!Q29/(1+$D$4)*$D$4,2)</f>
        <v>19.21</v>
      </c>
      <c r="E30" s="193">
        <f>收入成本!Y29/(1+$E$4)*$E$4</f>
        <v>90.0817431192661</v>
      </c>
      <c r="F30" s="193">
        <f t="shared" si="1"/>
        <v>114.33752293578</v>
      </c>
      <c r="G30" s="193">
        <f>ROUND(收入成本!AE29/(1+$G$4)*$G$4,2)</f>
        <v>0</v>
      </c>
      <c r="H30" s="193">
        <f>ROUND(收入成本!AG29/(1+$H$4)*$H$4,2)</f>
        <v>0</v>
      </c>
      <c r="I30" s="193">
        <f t="shared" si="2"/>
        <v>0</v>
      </c>
      <c r="J30" s="193">
        <f t="shared" si="3"/>
        <v>0</v>
      </c>
      <c r="K30" s="193">
        <f t="shared" si="8"/>
        <v>114.33752293578</v>
      </c>
      <c r="L30" s="193">
        <f t="shared" si="6"/>
        <v>5.72</v>
      </c>
      <c r="M30" s="193">
        <f t="shared" si="7"/>
        <v>5.72</v>
      </c>
      <c r="N30" s="200">
        <f>ROUND(收入成本!Y29*$N$4,2)</f>
        <v>130.92</v>
      </c>
      <c r="O30" s="193">
        <f t="shared" si="5"/>
        <v>256.69752293578</v>
      </c>
    </row>
    <row r="31" spans="1:15">
      <c r="A31" s="192">
        <v>27</v>
      </c>
      <c r="B31" s="193">
        <f>收入成本!K30/(1+$B$4)*$B$4</f>
        <v>5.30009174311927</v>
      </c>
      <c r="C31" s="193"/>
      <c r="D31" s="193">
        <f>ROUND(收入成本!Q30/(1+$D$4)*$D$4,2)</f>
        <v>21.13</v>
      </c>
      <c r="E31" s="193">
        <f>收入成本!Y30/(1+$E$4)*$E$4</f>
        <v>94.5908256880734</v>
      </c>
      <c r="F31" s="193">
        <f t="shared" si="1"/>
        <v>121.020917431193</v>
      </c>
      <c r="G31" s="193">
        <f>ROUND(收入成本!AE30/(1+$G$4)*$G$4,2)</f>
        <v>0</v>
      </c>
      <c r="H31" s="193">
        <f>ROUND(收入成本!AG30/(1+$H$4)*$H$4,2)</f>
        <v>0</v>
      </c>
      <c r="I31" s="193">
        <f t="shared" si="2"/>
        <v>0</v>
      </c>
      <c r="J31" s="193">
        <f t="shared" si="3"/>
        <v>0</v>
      </c>
      <c r="K31" s="193">
        <f t="shared" si="8"/>
        <v>121.020917431193</v>
      </c>
      <c r="L31" s="193">
        <f t="shared" si="6"/>
        <v>6.05</v>
      </c>
      <c r="M31" s="193">
        <f t="shared" si="7"/>
        <v>6.05</v>
      </c>
      <c r="N31" s="200">
        <f>ROUND(收入成本!Y30*$N$4,2)</f>
        <v>137.47</v>
      </c>
      <c r="O31" s="193">
        <f t="shared" si="5"/>
        <v>270.590917431193</v>
      </c>
    </row>
    <row r="32" spans="1:15">
      <c r="A32" s="192">
        <v>28</v>
      </c>
      <c r="B32" s="193">
        <f>收入成本!K31/(1+$B$4)*$B$4</f>
        <v>5.30009174311927</v>
      </c>
      <c r="C32" s="193"/>
      <c r="D32" s="193">
        <f>ROUND(收入成本!Q31/(1+$D$4)*$D$4,2)</f>
        <v>21.13</v>
      </c>
      <c r="E32" s="193">
        <f>收入成本!Y31/(1+$E$4)*$E$4</f>
        <v>94.5908256880734</v>
      </c>
      <c r="F32" s="193">
        <f t="shared" si="1"/>
        <v>121.020917431193</v>
      </c>
      <c r="G32" s="193">
        <f>ROUND(收入成本!AE31/(1+$G$4)*$G$4,2)</f>
        <v>0</v>
      </c>
      <c r="H32" s="193">
        <f>ROUND(收入成本!AG31/(1+$H$4)*$H$4,2)</f>
        <v>0</v>
      </c>
      <c r="I32" s="193">
        <f t="shared" si="2"/>
        <v>0</v>
      </c>
      <c r="J32" s="193">
        <f t="shared" si="3"/>
        <v>0</v>
      </c>
      <c r="K32" s="193">
        <f t="shared" si="8"/>
        <v>121.020917431193</v>
      </c>
      <c r="L32" s="193">
        <f t="shared" si="6"/>
        <v>6.05</v>
      </c>
      <c r="M32" s="193">
        <f t="shared" si="7"/>
        <v>6.05</v>
      </c>
      <c r="N32" s="200">
        <f>ROUND(收入成本!Y31*$N$4,2)</f>
        <v>137.47</v>
      </c>
      <c r="O32" s="193">
        <f t="shared" si="5"/>
        <v>270.590917431193</v>
      </c>
    </row>
    <row r="33" spans="1:15">
      <c r="A33" s="192">
        <v>29</v>
      </c>
      <c r="B33" s="193">
        <f>收入成本!K32/(1+$B$4)*$B$4</f>
        <v>5.30009174311927</v>
      </c>
      <c r="C33" s="193"/>
      <c r="D33" s="193">
        <f>ROUND(收入成本!Q32/(1+$D$4)*$D$4,2)</f>
        <v>21.13</v>
      </c>
      <c r="E33" s="193">
        <f>收入成本!Y32/(1+$E$4)*$E$4</f>
        <v>94.5908256880734</v>
      </c>
      <c r="F33" s="193">
        <f t="shared" si="1"/>
        <v>121.020917431193</v>
      </c>
      <c r="G33" s="193">
        <f>ROUND(收入成本!AE32/(1+$G$4)*$G$4,2)</f>
        <v>0</v>
      </c>
      <c r="H33" s="193">
        <f>ROUND(收入成本!AG32/(1+$H$4)*$H$4,2)</f>
        <v>0</v>
      </c>
      <c r="I33" s="193">
        <f t="shared" si="2"/>
        <v>0</v>
      </c>
      <c r="J33" s="193">
        <f t="shared" si="3"/>
        <v>0</v>
      </c>
      <c r="K33" s="193">
        <f t="shared" si="8"/>
        <v>121.020917431193</v>
      </c>
      <c r="L33" s="193">
        <f t="shared" si="6"/>
        <v>6.05</v>
      </c>
      <c r="M33" s="193">
        <f t="shared" si="7"/>
        <v>6.05</v>
      </c>
      <c r="N33" s="200">
        <f>ROUND(收入成本!Y32*$N$4,2)</f>
        <v>137.47</v>
      </c>
      <c r="O33" s="193">
        <f t="shared" si="5"/>
        <v>270.590917431193</v>
      </c>
    </row>
    <row r="34" spans="1:15">
      <c r="A34" s="192">
        <v>30</v>
      </c>
      <c r="B34" s="193">
        <f>收入成本!K33/(1+$B$4)*$B$4</f>
        <v>5.30009174311927</v>
      </c>
      <c r="C34" s="193"/>
      <c r="D34" s="193">
        <f>ROUND(收入成本!Q33/(1+$D$4)*$D$4,2)</f>
        <v>21.13</v>
      </c>
      <c r="E34" s="193">
        <f>收入成本!Y33/(1+$E$4)*$E$4</f>
        <v>94.5908256880734</v>
      </c>
      <c r="F34" s="193">
        <f t="shared" si="1"/>
        <v>121.020917431193</v>
      </c>
      <c r="G34" s="193">
        <f>ROUND(收入成本!AE33/(1+$G$4)*$G$4,2)</f>
        <v>0</v>
      </c>
      <c r="H34" s="193">
        <f>ROUND(收入成本!AG33/(1+$H$4)*$H$4,2)</f>
        <v>0</v>
      </c>
      <c r="I34" s="193">
        <f t="shared" si="2"/>
        <v>0</v>
      </c>
      <c r="J34" s="193">
        <f t="shared" si="3"/>
        <v>0</v>
      </c>
      <c r="K34" s="193">
        <f t="shared" si="8"/>
        <v>121.020917431193</v>
      </c>
      <c r="L34" s="193">
        <f t="shared" si="6"/>
        <v>6.05</v>
      </c>
      <c r="M34" s="193">
        <f t="shared" si="7"/>
        <v>6.05</v>
      </c>
      <c r="N34" s="200">
        <f>ROUND(收入成本!Y33*$N$4,2)</f>
        <v>137.47</v>
      </c>
      <c r="O34" s="193">
        <f t="shared" si="5"/>
        <v>270.590917431193</v>
      </c>
    </row>
    <row r="35" spans="1:15">
      <c r="A35" s="192">
        <v>31</v>
      </c>
      <c r="B35" s="193">
        <f>ROUND(收入成本!G34*$B$4/(1+$B$4),2)</f>
        <v>0</v>
      </c>
      <c r="C35" s="193"/>
      <c r="D35" s="193">
        <f>ROUND(收入成本!Q34/(1+$D$4)*$D$4,2)</f>
        <v>0</v>
      </c>
      <c r="E35" s="193">
        <f>ROUND(收入成本!Y34/(1+$E$4)*$E$4,2)</f>
        <v>0</v>
      </c>
      <c r="F35" s="193">
        <f t="shared" si="1"/>
        <v>0</v>
      </c>
      <c r="G35" s="193">
        <f>ROUND(收入成本!AE34/(1+$G$4)*$G$4,2)</f>
        <v>0</v>
      </c>
      <c r="H35" s="193">
        <f>ROUND(收入成本!AG34/(1+$H$4)*$H$4,2)</f>
        <v>0</v>
      </c>
      <c r="I35" s="193">
        <f t="shared" si="2"/>
        <v>0</v>
      </c>
      <c r="J35" s="193">
        <f t="shared" si="3"/>
        <v>0</v>
      </c>
      <c r="K35" s="193">
        <f t="shared" si="8"/>
        <v>0</v>
      </c>
      <c r="L35" s="193">
        <f t="shared" si="6"/>
        <v>0</v>
      </c>
      <c r="M35" s="193">
        <f t="shared" si="7"/>
        <v>0</v>
      </c>
      <c r="N35" s="200">
        <f>ROUND(收入成本!Y34*$N$4,2)</f>
        <v>0</v>
      </c>
      <c r="O35" s="193">
        <f t="shared" si="5"/>
        <v>0</v>
      </c>
    </row>
    <row r="36" spans="1:15">
      <c r="A36" s="192"/>
      <c r="B36" s="193"/>
      <c r="C36" s="193"/>
      <c r="D36" s="193"/>
      <c r="E36" s="193"/>
      <c r="F36" s="193"/>
      <c r="G36" s="193"/>
      <c r="H36" s="193"/>
      <c r="I36" s="193"/>
      <c r="J36" s="193"/>
      <c r="K36" s="193"/>
      <c r="L36" s="193"/>
      <c r="M36" s="193"/>
      <c r="N36" s="200"/>
      <c r="O36" s="193"/>
    </row>
    <row r="37" spans="1:15">
      <c r="A37" s="194" t="s">
        <v>189</v>
      </c>
      <c r="B37" s="195">
        <f t="shared" ref="B37:I37" si="9">SUM(B5:B36)</f>
        <v>131.452018348624</v>
      </c>
      <c r="C37" s="195">
        <f t="shared" si="9"/>
        <v>0</v>
      </c>
      <c r="D37" s="195">
        <f t="shared" si="9"/>
        <v>470.81</v>
      </c>
      <c r="E37" s="195">
        <f t="shared" si="9"/>
        <v>2351.5819266055</v>
      </c>
      <c r="F37" s="195">
        <f t="shared" si="9"/>
        <v>2953.84394495413</v>
      </c>
      <c r="G37" s="195">
        <f t="shared" si="9"/>
        <v>0</v>
      </c>
      <c r="H37" s="195">
        <f t="shared" si="9"/>
        <v>0</v>
      </c>
      <c r="I37" s="195">
        <f t="shared" si="9"/>
        <v>0</v>
      </c>
      <c r="J37" s="195"/>
      <c r="K37" s="195">
        <f>SUM(K7:K36)</f>
        <v>1518.32394495413</v>
      </c>
      <c r="L37" s="195">
        <f>SUM(L7:L36)</f>
        <v>75.92</v>
      </c>
      <c r="M37" s="195">
        <f>SUM(M7:M36)</f>
        <v>75.92</v>
      </c>
      <c r="N37" s="195">
        <f>SUM(N6:N36)</f>
        <v>3417.58</v>
      </c>
      <c r="O37" s="195">
        <f>SUM(O6:O36)</f>
        <v>5087.74394495413</v>
      </c>
    </row>
  </sheetData>
  <mergeCells count="13">
    <mergeCell ref="B1:K1"/>
    <mergeCell ref="P1:U1"/>
    <mergeCell ref="B2:F2"/>
    <mergeCell ref="G2:J2"/>
    <mergeCell ref="A1:A4"/>
    <mergeCell ref="F3:F4"/>
    <mergeCell ref="I3:I4"/>
    <mergeCell ref="J3:J4"/>
    <mergeCell ref="K2:K4"/>
    <mergeCell ref="L1:L3"/>
    <mergeCell ref="M1:M3"/>
    <mergeCell ref="N1:N3"/>
    <mergeCell ref="O1:O4"/>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7"/>
  <sheetViews>
    <sheetView zoomScale="55" zoomScaleNormal="55" workbookViewId="0">
      <selection activeCell="AM23" sqref="AM23"/>
    </sheetView>
  </sheetViews>
  <sheetFormatPr defaultColWidth="8.89166666666667" defaultRowHeight="14"/>
  <cols>
    <col min="1" max="1" width="19.4416666666667" customWidth="1"/>
    <col min="2" max="3" width="10.775" hidden="1" customWidth="1"/>
    <col min="4" max="11" width="9.89166666666667" hidden="1" customWidth="1"/>
    <col min="12" max="12" width="8.75" hidden="1" customWidth="1"/>
    <col min="13" max="18" width="9.89166666666667" hidden="1" customWidth="1"/>
    <col min="19" max="20" width="10.775" hidden="1" customWidth="1"/>
    <col min="21" max="21" width="9.10833333333333" hidden="1" customWidth="1"/>
    <col min="22" max="24" width="9.10833333333333" customWidth="1"/>
    <col min="25" max="31" width="10.775" customWidth="1"/>
    <col min="32" max="34" width="10.775" hidden="1" customWidth="1"/>
    <col min="35" max="35" width="11" customWidth="1"/>
  </cols>
  <sheetData>
    <row r="1" ht="21" spans="1:35">
      <c r="A1" s="167" t="s">
        <v>416</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75"/>
    </row>
    <row r="2" spans="1:35">
      <c r="A2" s="169"/>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6" t="s">
        <v>417</v>
      </c>
    </row>
    <row r="3" spans="1:35">
      <c r="A3" s="171" t="s">
        <v>261</v>
      </c>
      <c r="B3" s="172" t="s">
        <v>418</v>
      </c>
      <c r="C3" s="172" t="s">
        <v>419</v>
      </c>
      <c r="D3" s="172" t="s">
        <v>420</v>
      </c>
      <c r="E3" s="172" t="s">
        <v>421</v>
      </c>
      <c r="F3" s="172" t="s">
        <v>422</v>
      </c>
      <c r="G3" s="172" t="s">
        <v>423</v>
      </c>
      <c r="H3" s="172" t="s">
        <v>424</v>
      </c>
      <c r="I3" s="172" t="s">
        <v>425</v>
      </c>
      <c r="J3" s="172" t="s">
        <v>426</v>
      </c>
      <c r="K3" s="172" t="s">
        <v>427</v>
      </c>
      <c r="L3" s="172" t="s">
        <v>428</v>
      </c>
      <c r="M3" s="172" t="s">
        <v>429</v>
      </c>
      <c r="N3" s="172" t="s">
        <v>430</v>
      </c>
      <c r="O3" s="172" t="s">
        <v>431</v>
      </c>
      <c r="P3" s="172" t="s">
        <v>432</v>
      </c>
      <c r="Q3" s="172" t="s">
        <v>433</v>
      </c>
      <c r="R3" s="172" t="s">
        <v>434</v>
      </c>
      <c r="S3" s="172" t="s">
        <v>435</v>
      </c>
      <c r="T3" s="172" t="s">
        <v>436</v>
      </c>
      <c r="U3" s="172" t="s">
        <v>437</v>
      </c>
      <c r="V3" s="172" t="s">
        <v>438</v>
      </c>
      <c r="W3" s="172" t="s">
        <v>439</v>
      </c>
      <c r="X3" s="172" t="s">
        <v>440</v>
      </c>
      <c r="Y3" s="172" t="s">
        <v>441</v>
      </c>
      <c r="Z3" s="172" t="s">
        <v>442</v>
      </c>
      <c r="AA3" s="172" t="s">
        <v>443</v>
      </c>
      <c r="AB3" s="172" t="s">
        <v>444</v>
      </c>
      <c r="AC3" s="172" t="s">
        <v>445</v>
      </c>
      <c r="AD3" s="172" t="s">
        <v>446</v>
      </c>
      <c r="AE3" s="172" t="s">
        <v>447</v>
      </c>
      <c r="AF3" s="172" t="s">
        <v>448</v>
      </c>
      <c r="AG3" s="172" t="s">
        <v>449</v>
      </c>
      <c r="AH3" s="172" t="s">
        <v>450</v>
      </c>
      <c r="AI3" s="172" t="s">
        <v>451</v>
      </c>
    </row>
    <row r="4" spans="1:35">
      <c r="A4" s="173" t="s">
        <v>452</v>
      </c>
      <c r="B4" s="172">
        <f t="shared" ref="B4:AH4" si="0">B5+B13</f>
        <v>13173.01</v>
      </c>
      <c r="C4" s="172">
        <f t="shared" si="0"/>
        <v>9487.11</v>
      </c>
      <c r="D4" s="172">
        <f t="shared" si="0"/>
        <v>774.27</v>
      </c>
      <c r="E4" s="172">
        <f t="shared" si="0"/>
        <v>857.45</v>
      </c>
      <c r="F4" s="172">
        <f t="shared" si="0"/>
        <v>935.01</v>
      </c>
      <c r="G4" s="172">
        <f t="shared" si="0"/>
        <v>1004.83</v>
      </c>
      <c r="H4" s="172">
        <f t="shared" si="0"/>
        <v>1128.14</v>
      </c>
      <c r="I4" s="172">
        <f t="shared" si="0"/>
        <v>1128.14</v>
      </c>
      <c r="J4" s="172">
        <f t="shared" si="0"/>
        <v>1128.14</v>
      </c>
      <c r="K4" s="172">
        <f t="shared" si="0"/>
        <v>1128.14</v>
      </c>
      <c r="L4" s="172">
        <f t="shared" si="0"/>
        <v>1128.14</v>
      </c>
      <c r="M4" s="172">
        <f t="shared" si="0"/>
        <v>1190.9</v>
      </c>
      <c r="N4" s="172">
        <f t="shared" si="0"/>
        <v>1190.9</v>
      </c>
      <c r="O4" s="172">
        <f t="shared" si="0"/>
        <v>1190.9</v>
      </c>
      <c r="P4" s="172">
        <f t="shared" si="0"/>
        <v>1190.9</v>
      </c>
      <c r="Q4" s="172">
        <f t="shared" si="0"/>
        <v>1190.9</v>
      </c>
      <c r="R4" s="172">
        <f t="shared" si="0"/>
        <v>1257.36</v>
      </c>
      <c r="S4" s="172">
        <f t="shared" si="0"/>
        <v>1257.36</v>
      </c>
      <c r="T4" s="172">
        <f t="shared" si="0"/>
        <v>1257.36</v>
      </c>
      <c r="U4" s="172">
        <f t="shared" si="0"/>
        <v>1257.36</v>
      </c>
      <c r="V4" s="172">
        <f t="shared" si="0"/>
        <v>1257.36</v>
      </c>
      <c r="W4" s="172">
        <f t="shared" si="0"/>
        <v>1327.9</v>
      </c>
      <c r="X4" s="172">
        <f t="shared" si="0"/>
        <v>1327.9</v>
      </c>
      <c r="Y4" s="172">
        <f t="shared" si="0"/>
        <v>1327.9</v>
      </c>
      <c r="Z4" s="172">
        <f t="shared" si="0"/>
        <v>1327.9</v>
      </c>
      <c r="AA4" s="172">
        <f t="shared" si="0"/>
        <v>1327.9</v>
      </c>
      <c r="AB4" s="172">
        <f t="shared" si="0"/>
        <v>1402.73</v>
      </c>
      <c r="AC4" s="172">
        <f t="shared" si="0"/>
        <v>1402.73</v>
      </c>
      <c r="AD4" s="172">
        <f t="shared" si="0"/>
        <v>1402.73</v>
      </c>
      <c r="AE4" s="172">
        <f t="shared" si="0"/>
        <v>1402.73</v>
      </c>
      <c r="AF4" s="172" t="e">
        <f t="shared" si="0"/>
        <v>#N/A</v>
      </c>
      <c r="AG4" s="172" t="e">
        <f t="shared" si="0"/>
        <v>#N/A</v>
      </c>
      <c r="AH4" s="172" t="e">
        <f t="shared" si="0"/>
        <v>#N/A</v>
      </c>
      <c r="AI4" s="172">
        <f>SUM(B4:AE4)</f>
        <v>56364.1</v>
      </c>
    </row>
    <row r="5" spans="1:35">
      <c r="A5" s="173" t="s">
        <v>453</v>
      </c>
      <c r="B5" s="172">
        <f>SUM(B6:B8)</f>
        <v>0</v>
      </c>
      <c r="C5" s="172">
        <f>SUM(C6:C8)</f>
        <v>660.12</v>
      </c>
      <c r="D5" s="172">
        <f t="shared" ref="D5:AH5" si="1">SUM(D6:D12)</f>
        <v>774.27</v>
      </c>
      <c r="E5" s="172">
        <f t="shared" si="1"/>
        <v>857.45</v>
      </c>
      <c r="F5" s="172">
        <f t="shared" si="1"/>
        <v>935.01</v>
      </c>
      <c r="G5" s="172">
        <f t="shared" si="1"/>
        <v>1004.83</v>
      </c>
      <c r="H5" s="172">
        <f t="shared" si="1"/>
        <v>1128.14</v>
      </c>
      <c r="I5" s="172">
        <f t="shared" si="1"/>
        <v>1128.14</v>
      </c>
      <c r="J5" s="172">
        <f t="shared" si="1"/>
        <v>1128.14</v>
      </c>
      <c r="K5" s="172">
        <f t="shared" si="1"/>
        <v>1128.14</v>
      </c>
      <c r="L5" s="172">
        <f t="shared" si="1"/>
        <v>1128.14</v>
      </c>
      <c r="M5" s="172">
        <f t="shared" si="1"/>
        <v>1190.9</v>
      </c>
      <c r="N5" s="172">
        <f t="shared" si="1"/>
        <v>1190.9</v>
      </c>
      <c r="O5" s="172">
        <f t="shared" si="1"/>
        <v>1190.9</v>
      </c>
      <c r="P5" s="172">
        <f t="shared" si="1"/>
        <v>1190.9</v>
      </c>
      <c r="Q5" s="172">
        <f t="shared" si="1"/>
        <v>1190.9</v>
      </c>
      <c r="R5" s="172">
        <f t="shared" si="1"/>
        <v>1257.36</v>
      </c>
      <c r="S5" s="172">
        <f t="shared" si="1"/>
        <v>1257.36</v>
      </c>
      <c r="T5" s="172">
        <f t="shared" si="1"/>
        <v>1257.36</v>
      </c>
      <c r="U5" s="172">
        <f t="shared" si="1"/>
        <v>1257.36</v>
      </c>
      <c r="V5" s="172">
        <f t="shared" si="1"/>
        <v>1257.36</v>
      </c>
      <c r="W5" s="172">
        <f t="shared" si="1"/>
        <v>1327.9</v>
      </c>
      <c r="X5" s="172">
        <f t="shared" si="1"/>
        <v>1327.9</v>
      </c>
      <c r="Y5" s="172">
        <f t="shared" si="1"/>
        <v>1327.9</v>
      </c>
      <c r="Z5" s="172">
        <f t="shared" si="1"/>
        <v>1327.9</v>
      </c>
      <c r="AA5" s="172">
        <f t="shared" si="1"/>
        <v>1327.9</v>
      </c>
      <c r="AB5" s="172">
        <f t="shared" si="1"/>
        <v>1402.73</v>
      </c>
      <c r="AC5" s="172">
        <f t="shared" si="1"/>
        <v>1402.73</v>
      </c>
      <c r="AD5" s="172">
        <f t="shared" si="1"/>
        <v>1402.73</v>
      </c>
      <c r="AE5" s="172">
        <f t="shared" si="1"/>
        <v>1402.73</v>
      </c>
      <c r="AF5" s="172" t="e">
        <f t="shared" si="1"/>
        <v>#N/A</v>
      </c>
      <c r="AG5" s="172" t="e">
        <f t="shared" si="1"/>
        <v>#N/A</v>
      </c>
      <c r="AH5" s="172" t="e">
        <f t="shared" si="1"/>
        <v>#N/A</v>
      </c>
      <c r="AI5" s="172">
        <f>SUM(B5:AE5)</f>
        <v>34364.1</v>
      </c>
    </row>
    <row r="6" spans="1:35">
      <c r="A6" s="173" t="str">
        <f>CONCATENATE("其中：",收入成本!C1,"")</f>
        <v>其中：种植基地出租收入</v>
      </c>
      <c r="B6" s="172">
        <f t="array" ref="B6:AH6">TRANSPOSE(收入成本!G4:G35)</f>
        <v>0</v>
      </c>
      <c r="C6" s="172">
        <v>4.83</v>
      </c>
      <c r="D6" s="172">
        <v>5.32</v>
      </c>
      <c r="E6" s="172">
        <v>5.8</v>
      </c>
      <c r="F6" s="172">
        <v>6.29</v>
      </c>
      <c r="G6" s="172">
        <v>6.77</v>
      </c>
      <c r="H6" s="172">
        <v>7.61</v>
      </c>
      <c r="I6" s="172">
        <v>7.61</v>
      </c>
      <c r="J6" s="172">
        <v>7.61</v>
      </c>
      <c r="K6" s="172">
        <v>7.61</v>
      </c>
      <c r="L6" s="172">
        <v>7.61</v>
      </c>
      <c r="M6" s="172">
        <v>8</v>
      </c>
      <c r="N6" s="172">
        <v>8</v>
      </c>
      <c r="O6" s="172">
        <v>8</v>
      </c>
      <c r="P6" s="172">
        <v>8</v>
      </c>
      <c r="Q6" s="172">
        <v>8</v>
      </c>
      <c r="R6" s="172">
        <v>8.4</v>
      </c>
      <c r="S6" s="172">
        <v>8.4</v>
      </c>
      <c r="T6" s="172">
        <v>8.4</v>
      </c>
      <c r="U6" s="172">
        <v>8.4</v>
      </c>
      <c r="V6" s="172">
        <v>8.4</v>
      </c>
      <c r="W6" s="172">
        <v>8.82</v>
      </c>
      <c r="X6" s="172">
        <v>8.82</v>
      </c>
      <c r="Y6" s="172">
        <v>8.82</v>
      </c>
      <c r="Z6" s="172">
        <v>8.82</v>
      </c>
      <c r="AA6" s="172">
        <v>8.82</v>
      </c>
      <c r="AB6" s="172">
        <v>9.26</v>
      </c>
      <c r="AC6" s="172">
        <v>9.26</v>
      </c>
      <c r="AD6" s="172">
        <v>9.26</v>
      </c>
      <c r="AE6" s="172">
        <v>9.26</v>
      </c>
      <c r="AF6" s="172">
        <v>0</v>
      </c>
      <c r="AG6" s="172">
        <v>0</v>
      </c>
      <c r="AH6" s="172" t="e">
        <v>#N/A</v>
      </c>
      <c r="AI6" s="172">
        <f t="shared" ref="AI5:AI27" si="2">SUM(B6:AF6)</f>
        <v>230.2</v>
      </c>
    </row>
    <row r="7" spans="1:35">
      <c r="A7" s="173" t="str">
        <f>CONCATENATE(收入成本!L1,"")</f>
        <v>充电桩收入</v>
      </c>
      <c r="B7" s="172">
        <f t="array" ref="B7:AH7">TRANSPOSE(收入成本!Q4:Q35)</f>
        <v>0</v>
      </c>
      <c r="C7" s="172">
        <v>57.02</v>
      </c>
      <c r="D7" s="172">
        <v>76.03</v>
      </c>
      <c r="E7" s="172">
        <v>95.04</v>
      </c>
      <c r="F7" s="172">
        <v>104.54</v>
      </c>
      <c r="G7" s="172">
        <v>114.05</v>
      </c>
      <c r="H7" s="172">
        <v>125.45</v>
      </c>
      <c r="I7" s="172">
        <v>125.45</v>
      </c>
      <c r="J7" s="172">
        <v>125.45</v>
      </c>
      <c r="K7" s="172">
        <v>125.45</v>
      </c>
      <c r="L7" s="172">
        <v>125.45</v>
      </c>
      <c r="M7" s="172">
        <v>138</v>
      </c>
      <c r="N7" s="172">
        <v>138</v>
      </c>
      <c r="O7" s="172">
        <v>138</v>
      </c>
      <c r="P7" s="172">
        <v>138</v>
      </c>
      <c r="Q7" s="172">
        <v>138</v>
      </c>
      <c r="R7" s="172">
        <v>151.8</v>
      </c>
      <c r="S7" s="172">
        <v>151.8</v>
      </c>
      <c r="T7" s="172">
        <v>151.8</v>
      </c>
      <c r="U7" s="172">
        <v>151.8</v>
      </c>
      <c r="V7" s="172">
        <v>151.8</v>
      </c>
      <c r="W7" s="172">
        <v>166.98</v>
      </c>
      <c r="X7" s="172">
        <v>166.98</v>
      </c>
      <c r="Y7" s="172">
        <v>166.98</v>
      </c>
      <c r="Z7" s="172">
        <v>166.98</v>
      </c>
      <c r="AA7" s="172">
        <v>166.98</v>
      </c>
      <c r="AB7" s="172">
        <v>183.68</v>
      </c>
      <c r="AC7" s="172">
        <v>183.68</v>
      </c>
      <c r="AD7" s="172">
        <v>183.68</v>
      </c>
      <c r="AE7" s="172">
        <v>183.68</v>
      </c>
      <c r="AF7" s="172">
        <v>0</v>
      </c>
      <c r="AG7" s="172">
        <v>0</v>
      </c>
      <c r="AH7" s="172" t="e">
        <v>#N/A</v>
      </c>
      <c r="AI7" s="172">
        <f t="shared" si="2"/>
        <v>4092.55</v>
      </c>
    </row>
    <row r="8" spans="1:35">
      <c r="A8" s="171" t="str">
        <f>CONCATENATE(收入成本!V1)</f>
        <v>厂房出租收入</v>
      </c>
      <c r="B8" s="172">
        <f t="array" ref="B8:AH8">TRANSPOSE(收入成本!Y4:Y35)</f>
        <v>0</v>
      </c>
      <c r="C8" s="172">
        <v>598.27</v>
      </c>
      <c r="D8" s="172">
        <v>658.1</v>
      </c>
      <c r="E8" s="172">
        <v>717.92</v>
      </c>
      <c r="F8" s="172">
        <v>777.75</v>
      </c>
      <c r="G8" s="172">
        <v>837.58</v>
      </c>
      <c r="H8" s="172">
        <v>942.27</v>
      </c>
      <c r="I8" s="172">
        <v>942.27</v>
      </c>
      <c r="J8" s="172">
        <v>942.27</v>
      </c>
      <c r="K8" s="172">
        <v>942.27</v>
      </c>
      <c r="L8" s="172">
        <v>942.27</v>
      </c>
      <c r="M8" s="172">
        <v>989.45</v>
      </c>
      <c r="N8" s="172">
        <v>989.45</v>
      </c>
      <c r="O8" s="172">
        <v>989.45</v>
      </c>
      <c r="P8" s="172">
        <v>989.45</v>
      </c>
      <c r="Q8" s="172">
        <v>989.45</v>
      </c>
      <c r="R8" s="172">
        <v>1038.94</v>
      </c>
      <c r="S8" s="172">
        <v>1038.94</v>
      </c>
      <c r="T8" s="172">
        <v>1038.94</v>
      </c>
      <c r="U8" s="172">
        <v>1038.94</v>
      </c>
      <c r="V8" s="172">
        <v>1038.94</v>
      </c>
      <c r="W8" s="172">
        <v>1090.99</v>
      </c>
      <c r="X8" s="172">
        <v>1090.99</v>
      </c>
      <c r="Y8" s="172">
        <v>1090.99</v>
      </c>
      <c r="Z8" s="172">
        <v>1090.99</v>
      </c>
      <c r="AA8" s="172">
        <v>1090.99</v>
      </c>
      <c r="AB8" s="172">
        <v>1145.6</v>
      </c>
      <c r="AC8" s="172">
        <v>1145.6</v>
      </c>
      <c r="AD8" s="172">
        <v>1145.6</v>
      </c>
      <c r="AE8" s="172">
        <v>1145.6</v>
      </c>
      <c r="AF8" s="172">
        <v>0</v>
      </c>
      <c r="AG8" s="172">
        <v>0</v>
      </c>
      <c r="AH8" s="172" t="e">
        <v>#N/A</v>
      </c>
      <c r="AI8" s="172">
        <f t="shared" si="2"/>
        <v>28480.27</v>
      </c>
    </row>
    <row r="9" spans="1:35">
      <c r="A9" s="171" t="s">
        <v>345</v>
      </c>
      <c r="B9" s="172">
        <f t="array" ref="B9:AG9">TRANSPOSE(收入成本!K4:K33)</f>
        <v>0</v>
      </c>
      <c r="C9" s="172">
        <v>30.95</v>
      </c>
      <c r="D9" s="172">
        <v>34.82</v>
      </c>
      <c r="E9" s="172">
        <v>38.69</v>
      </c>
      <c r="F9" s="172">
        <v>46.43</v>
      </c>
      <c r="G9" s="172">
        <v>46.43</v>
      </c>
      <c r="H9" s="172">
        <v>52.81</v>
      </c>
      <c r="I9" s="172">
        <v>52.81</v>
      </c>
      <c r="J9" s="172">
        <v>52.81</v>
      </c>
      <c r="K9" s="172">
        <v>52.81</v>
      </c>
      <c r="L9" s="172">
        <v>52.81</v>
      </c>
      <c r="M9" s="172">
        <v>55.45</v>
      </c>
      <c r="N9" s="172">
        <v>55.45</v>
      </c>
      <c r="O9" s="172">
        <v>55.45</v>
      </c>
      <c r="P9" s="172">
        <v>55.45</v>
      </c>
      <c r="Q9" s="172">
        <v>55.45</v>
      </c>
      <c r="R9" s="172">
        <v>58.22</v>
      </c>
      <c r="S9" s="172">
        <v>58.22</v>
      </c>
      <c r="T9" s="172">
        <v>58.22</v>
      </c>
      <c r="U9" s="172">
        <v>58.22</v>
      </c>
      <c r="V9" s="172">
        <v>58.22</v>
      </c>
      <c r="W9" s="172">
        <v>61.11</v>
      </c>
      <c r="X9" s="172">
        <v>61.11</v>
      </c>
      <c r="Y9" s="172">
        <v>61.11</v>
      </c>
      <c r="Z9" s="172">
        <v>61.11</v>
      </c>
      <c r="AA9" s="172">
        <v>61.11</v>
      </c>
      <c r="AB9" s="172">
        <v>64.19</v>
      </c>
      <c r="AC9" s="172">
        <v>64.19</v>
      </c>
      <c r="AD9" s="172">
        <v>64.19</v>
      </c>
      <c r="AE9" s="172">
        <v>64.19</v>
      </c>
      <c r="AF9" s="172" t="e">
        <v>#N/A</v>
      </c>
      <c r="AG9" s="172" t="e">
        <v>#N/A</v>
      </c>
      <c r="AH9" s="172"/>
      <c r="AI9" s="172">
        <f>SUM(B9:AE9)</f>
        <v>1592.03</v>
      </c>
    </row>
    <row r="10" hidden="1" spans="1:35">
      <c r="A10" s="171"/>
      <c r="B10" s="172"/>
      <c r="C10" s="172"/>
      <c r="D10" s="172"/>
      <c r="E10" s="172"/>
      <c r="F10" s="172"/>
      <c r="G10" s="172"/>
      <c r="H10" s="172"/>
      <c r="I10" s="172"/>
      <c r="J10" s="172"/>
      <c r="K10" s="172"/>
      <c r="L10" s="172"/>
      <c r="M10" s="172"/>
      <c r="N10" s="172"/>
      <c r="O10" s="172"/>
      <c r="P10" s="172"/>
      <c r="Q10" s="172"/>
      <c r="R10" s="172"/>
      <c r="S10" s="172"/>
      <c r="T10" s="172"/>
      <c r="U10" s="172"/>
      <c r="V10" s="172"/>
      <c r="W10" s="172"/>
      <c r="X10" s="172"/>
      <c r="Y10" s="172"/>
      <c r="Z10" s="172"/>
      <c r="AA10" s="172"/>
      <c r="AB10" s="172"/>
      <c r="AC10" s="172"/>
      <c r="AD10" s="172"/>
      <c r="AE10" s="172"/>
      <c r="AF10" s="172"/>
      <c r="AG10" s="172"/>
      <c r="AH10" s="172"/>
      <c r="AI10" s="172">
        <f t="shared" si="2"/>
        <v>0</v>
      </c>
    </row>
    <row r="11" hidden="1" spans="1:35">
      <c r="A11" s="171"/>
      <c r="B11" s="172"/>
      <c r="C11" s="172"/>
      <c r="D11" s="172"/>
      <c r="E11" s="172"/>
      <c r="F11" s="172"/>
      <c r="G11" s="172"/>
      <c r="H11" s="172"/>
      <c r="I11" s="172"/>
      <c r="J11" s="172"/>
      <c r="K11" s="172"/>
      <c r="L11" s="172"/>
      <c r="M11" s="172"/>
      <c r="N11" s="172"/>
      <c r="O11" s="172"/>
      <c r="P11" s="172"/>
      <c r="Q11" s="172"/>
      <c r="R11" s="172"/>
      <c r="S11" s="172"/>
      <c r="T11" s="172"/>
      <c r="U11" s="172"/>
      <c r="V11" s="172"/>
      <c r="W11" s="172"/>
      <c r="X11" s="172"/>
      <c r="Y11" s="172"/>
      <c r="Z11" s="172"/>
      <c r="AA11" s="172"/>
      <c r="AB11" s="172"/>
      <c r="AC11" s="172"/>
      <c r="AD11" s="172"/>
      <c r="AE11" s="172"/>
      <c r="AF11" s="172"/>
      <c r="AG11" s="172"/>
      <c r="AH11" s="172"/>
      <c r="AI11" s="172">
        <f t="shared" si="2"/>
        <v>0</v>
      </c>
    </row>
    <row r="12" hidden="1" spans="1:35">
      <c r="A12" s="171"/>
      <c r="B12" s="172"/>
      <c r="C12" s="172"/>
      <c r="D12" s="172"/>
      <c r="E12" s="172"/>
      <c r="F12" s="172"/>
      <c r="G12" s="172"/>
      <c r="H12" s="172"/>
      <c r="I12" s="172"/>
      <c r="J12" s="172"/>
      <c r="K12" s="172"/>
      <c r="L12" s="172"/>
      <c r="M12" s="172"/>
      <c r="N12" s="172"/>
      <c r="O12" s="172"/>
      <c r="P12" s="172"/>
      <c r="Q12" s="172"/>
      <c r="R12" s="172"/>
      <c r="S12" s="172"/>
      <c r="T12" s="172"/>
      <c r="U12" s="172"/>
      <c r="V12" s="172"/>
      <c r="W12" s="172"/>
      <c r="X12" s="172"/>
      <c r="Y12" s="172"/>
      <c r="Z12" s="172"/>
      <c r="AA12" s="172"/>
      <c r="AB12" s="172"/>
      <c r="AC12" s="172"/>
      <c r="AD12" s="172"/>
      <c r="AE12" s="172"/>
      <c r="AF12" s="172"/>
      <c r="AG12" s="172"/>
      <c r="AH12" s="172"/>
      <c r="AI12" s="172">
        <f t="shared" si="2"/>
        <v>0</v>
      </c>
    </row>
    <row r="13" spans="1:35">
      <c r="A13" s="173" t="s">
        <v>454</v>
      </c>
      <c r="B13" s="172">
        <f t="shared" ref="B13:AH13" si="3">SUM(B14:B15)</f>
        <v>13173.01</v>
      </c>
      <c r="C13" s="172">
        <f t="shared" si="3"/>
        <v>8826.99</v>
      </c>
      <c r="D13" s="172">
        <f t="shared" si="3"/>
        <v>0</v>
      </c>
      <c r="E13" s="172">
        <f t="shared" si="3"/>
        <v>0</v>
      </c>
      <c r="F13" s="172">
        <f t="shared" si="3"/>
        <v>0</v>
      </c>
      <c r="G13" s="172">
        <f t="shared" si="3"/>
        <v>0</v>
      </c>
      <c r="H13" s="172">
        <f t="shared" si="3"/>
        <v>0</v>
      </c>
      <c r="I13" s="172">
        <f t="shared" si="3"/>
        <v>0</v>
      </c>
      <c r="J13" s="172">
        <f t="shared" si="3"/>
        <v>0</v>
      </c>
      <c r="K13" s="172">
        <f t="shared" si="3"/>
        <v>0</v>
      </c>
      <c r="L13" s="172">
        <f t="shared" si="3"/>
        <v>0</v>
      </c>
      <c r="M13" s="172">
        <f t="shared" si="3"/>
        <v>0</v>
      </c>
      <c r="N13" s="172">
        <f t="shared" si="3"/>
        <v>0</v>
      </c>
      <c r="O13" s="172">
        <f t="shared" si="3"/>
        <v>0</v>
      </c>
      <c r="P13" s="172">
        <f t="shared" si="3"/>
        <v>0</v>
      </c>
      <c r="Q13" s="172">
        <f t="shared" si="3"/>
        <v>0</v>
      </c>
      <c r="R13" s="172">
        <f t="shared" si="3"/>
        <v>0</v>
      </c>
      <c r="S13" s="172">
        <f t="shared" si="3"/>
        <v>0</v>
      </c>
      <c r="T13" s="172">
        <f t="shared" si="3"/>
        <v>0</v>
      </c>
      <c r="U13" s="172">
        <f t="shared" si="3"/>
        <v>0</v>
      </c>
      <c r="V13" s="172">
        <f t="shared" si="3"/>
        <v>0</v>
      </c>
      <c r="W13" s="172">
        <f t="shared" si="3"/>
        <v>0</v>
      </c>
      <c r="X13" s="172">
        <f t="shared" si="3"/>
        <v>0</v>
      </c>
      <c r="Y13" s="172">
        <f t="shared" si="3"/>
        <v>0</v>
      </c>
      <c r="Z13" s="172">
        <f t="shared" si="3"/>
        <v>0</v>
      </c>
      <c r="AA13" s="172">
        <f t="shared" si="3"/>
        <v>0</v>
      </c>
      <c r="AB13" s="172">
        <f t="shared" si="3"/>
        <v>0</v>
      </c>
      <c r="AC13" s="172">
        <f t="shared" si="3"/>
        <v>0</v>
      </c>
      <c r="AD13" s="172">
        <f t="shared" si="3"/>
        <v>0</v>
      </c>
      <c r="AE13" s="172">
        <f t="shared" si="3"/>
        <v>0</v>
      </c>
      <c r="AF13" s="172">
        <f t="shared" si="3"/>
        <v>0</v>
      </c>
      <c r="AG13" s="172">
        <f t="shared" si="3"/>
        <v>0</v>
      </c>
      <c r="AH13" s="172">
        <f t="shared" si="3"/>
        <v>0</v>
      </c>
      <c r="AI13" s="172">
        <f t="shared" si="2"/>
        <v>22000</v>
      </c>
    </row>
    <row r="14" spans="1:35">
      <c r="A14" s="173" t="s">
        <v>455</v>
      </c>
      <c r="B14" s="172">
        <f>分年计划及建设期利息!E23</f>
        <v>9000</v>
      </c>
      <c r="C14" s="172">
        <f>分年计划及建设期利息!F23</f>
        <v>0</v>
      </c>
      <c r="D14" s="172">
        <f>分年计划及建设期利息!G23</f>
        <v>0</v>
      </c>
      <c r="E14" s="172">
        <f>分年计划及建设期利息!H23</f>
        <v>0</v>
      </c>
      <c r="F14" s="172"/>
      <c r="G14" s="172"/>
      <c r="H14" s="172"/>
      <c r="I14" s="172"/>
      <c r="J14" s="172"/>
      <c r="K14" s="172"/>
      <c r="L14" s="172"/>
      <c r="M14" s="172"/>
      <c r="N14" s="172"/>
      <c r="O14" s="172"/>
      <c r="P14" s="172"/>
      <c r="Q14" s="172"/>
      <c r="R14" s="172"/>
      <c r="S14" s="172"/>
      <c r="T14" s="172"/>
      <c r="U14" s="172"/>
      <c r="V14" s="172"/>
      <c r="W14" s="172"/>
      <c r="X14" s="172"/>
      <c r="Y14" s="172"/>
      <c r="Z14" s="172"/>
      <c r="AA14" s="172"/>
      <c r="AB14" s="172"/>
      <c r="AC14" s="172"/>
      <c r="AD14" s="172"/>
      <c r="AE14" s="172"/>
      <c r="AF14" s="172"/>
      <c r="AG14" s="172"/>
      <c r="AH14" s="172"/>
      <c r="AI14" s="172">
        <f t="shared" si="2"/>
        <v>9000</v>
      </c>
    </row>
    <row r="15" spans="1:35">
      <c r="A15" s="173" t="s">
        <v>456</v>
      </c>
      <c r="B15" s="172">
        <f>分年计划及建设期利息!E22</f>
        <v>4173.01</v>
      </c>
      <c r="C15" s="172">
        <f>分年计划及建设期利息!F22</f>
        <v>8826.99</v>
      </c>
      <c r="D15" s="172">
        <f>分年计划及建设期利息!G22</f>
        <v>0</v>
      </c>
      <c r="E15" s="172">
        <f>分年计划及建设期利息!H22</f>
        <v>0</v>
      </c>
      <c r="F15" s="172"/>
      <c r="G15" s="172"/>
      <c r="H15" s="172"/>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2"/>
      <c r="AG15" s="172"/>
      <c r="AH15" s="172"/>
      <c r="AI15" s="172">
        <f t="shared" si="2"/>
        <v>13000</v>
      </c>
    </row>
    <row r="16" spans="1:35">
      <c r="A16" s="173" t="s">
        <v>457</v>
      </c>
      <c r="B16" s="172">
        <f t="shared" ref="B16:AH16" si="4">B17+B21</f>
        <v>13173.01</v>
      </c>
      <c r="C16" s="172">
        <f t="shared" si="4"/>
        <v>524.2535</v>
      </c>
      <c r="D16" s="172">
        <f t="shared" si="4"/>
        <v>537.2635</v>
      </c>
      <c r="E16" s="172">
        <f t="shared" si="4"/>
        <v>550.2625</v>
      </c>
      <c r="F16" s="172">
        <f t="shared" si="4"/>
        <v>562.8705</v>
      </c>
      <c r="G16" s="172">
        <f t="shared" si="4"/>
        <v>574.9415</v>
      </c>
      <c r="H16" s="172">
        <f t="shared" si="4"/>
        <v>607.7815</v>
      </c>
      <c r="I16" s="172">
        <f t="shared" si="4"/>
        <v>607.7815</v>
      </c>
      <c r="J16" s="172">
        <f t="shared" si="4"/>
        <v>607.7815</v>
      </c>
      <c r="K16" s="172">
        <f t="shared" si="4"/>
        <v>607.7815</v>
      </c>
      <c r="L16" s="172">
        <f t="shared" si="4"/>
        <v>607.7815</v>
      </c>
      <c r="M16" s="172">
        <f t="shared" si="4"/>
        <v>630.571725</v>
      </c>
      <c r="N16" s="172">
        <f t="shared" si="4"/>
        <v>630.571725</v>
      </c>
      <c r="O16" s="172">
        <f t="shared" si="4"/>
        <v>630.571725</v>
      </c>
      <c r="P16" s="172">
        <f t="shared" si="4"/>
        <v>630.571725</v>
      </c>
      <c r="Q16" s="172">
        <f t="shared" si="4"/>
        <v>630.571725</v>
      </c>
      <c r="R16" s="172">
        <f t="shared" si="4"/>
        <v>688.465951158256</v>
      </c>
      <c r="S16" s="172">
        <f t="shared" si="4"/>
        <v>773.92925391055</v>
      </c>
      <c r="T16" s="172">
        <f t="shared" si="4"/>
        <v>773.92925391055</v>
      </c>
      <c r="U16" s="172">
        <f t="shared" si="4"/>
        <v>773.92925391055</v>
      </c>
      <c r="V16" s="172">
        <f t="shared" si="4"/>
        <v>773.92925391055</v>
      </c>
      <c r="W16" s="172">
        <f t="shared" si="4"/>
        <v>807.25053724828</v>
      </c>
      <c r="X16" s="172">
        <f t="shared" si="4"/>
        <v>807.25053724828</v>
      </c>
      <c r="Y16" s="172">
        <f t="shared" si="4"/>
        <v>807.25053724828</v>
      </c>
      <c r="Z16" s="172">
        <f t="shared" si="4"/>
        <v>807.25053724828</v>
      </c>
      <c r="AA16" s="172">
        <f t="shared" si="4"/>
        <v>807.25053724828</v>
      </c>
      <c r="AB16" s="172">
        <f t="shared" si="4"/>
        <v>843.002627459318</v>
      </c>
      <c r="AC16" s="172">
        <f t="shared" si="4"/>
        <v>843.002627459318</v>
      </c>
      <c r="AD16" s="172">
        <f t="shared" si="4"/>
        <v>843.002627459318</v>
      </c>
      <c r="AE16" s="172">
        <f t="shared" si="4"/>
        <v>9843.00262745932</v>
      </c>
      <c r="AF16" s="172">
        <f t="shared" si="4"/>
        <v>0</v>
      </c>
      <c r="AG16" s="172">
        <f t="shared" si="4"/>
        <v>0</v>
      </c>
      <c r="AH16" s="172" t="e">
        <f t="shared" si="4"/>
        <v>#N/A</v>
      </c>
      <c r="AI16" s="172">
        <f t="shared" si="2"/>
        <v>42306.8137878792</v>
      </c>
    </row>
    <row r="17" spans="1:35">
      <c r="A17" s="173" t="s">
        <v>458</v>
      </c>
      <c r="B17" s="172">
        <f t="shared" ref="B17:AH17" si="5">SUM(B18:B20)</f>
        <v>12894.01</v>
      </c>
      <c r="C17" s="172">
        <f t="shared" si="5"/>
        <v>254.2535</v>
      </c>
      <c r="D17" s="172">
        <f t="shared" si="5"/>
        <v>267.2635</v>
      </c>
      <c r="E17" s="172">
        <f t="shared" si="5"/>
        <v>280.2625</v>
      </c>
      <c r="F17" s="172">
        <f t="shared" si="5"/>
        <v>292.8705</v>
      </c>
      <c r="G17" s="172">
        <f t="shared" si="5"/>
        <v>304.9415</v>
      </c>
      <c r="H17" s="172">
        <f t="shared" si="5"/>
        <v>337.7815</v>
      </c>
      <c r="I17" s="172">
        <f t="shared" si="5"/>
        <v>337.7815</v>
      </c>
      <c r="J17" s="172">
        <f t="shared" si="5"/>
        <v>337.7815</v>
      </c>
      <c r="K17" s="172">
        <f t="shared" si="5"/>
        <v>337.7815</v>
      </c>
      <c r="L17" s="172">
        <f t="shared" si="5"/>
        <v>337.7815</v>
      </c>
      <c r="M17" s="172">
        <f t="shared" si="5"/>
        <v>360.571725</v>
      </c>
      <c r="N17" s="172">
        <f t="shared" si="5"/>
        <v>360.571725</v>
      </c>
      <c r="O17" s="172">
        <f t="shared" si="5"/>
        <v>360.571725</v>
      </c>
      <c r="P17" s="172">
        <f t="shared" si="5"/>
        <v>360.571725</v>
      </c>
      <c r="Q17" s="172">
        <f t="shared" si="5"/>
        <v>360.571725</v>
      </c>
      <c r="R17" s="172">
        <f t="shared" si="5"/>
        <v>418.465951158256</v>
      </c>
      <c r="S17" s="172">
        <f t="shared" si="5"/>
        <v>503.92925391055</v>
      </c>
      <c r="T17" s="172">
        <f t="shared" si="5"/>
        <v>503.92925391055</v>
      </c>
      <c r="U17" s="172">
        <f t="shared" si="5"/>
        <v>503.92925391055</v>
      </c>
      <c r="V17" s="172">
        <f t="shared" si="5"/>
        <v>503.92925391055</v>
      </c>
      <c r="W17" s="172">
        <f t="shared" si="5"/>
        <v>537.25053724828</v>
      </c>
      <c r="X17" s="172">
        <f t="shared" si="5"/>
        <v>537.25053724828</v>
      </c>
      <c r="Y17" s="172">
        <f t="shared" si="5"/>
        <v>537.25053724828</v>
      </c>
      <c r="Z17" s="172">
        <f t="shared" si="5"/>
        <v>537.25053724828</v>
      </c>
      <c r="AA17" s="172">
        <f t="shared" si="5"/>
        <v>537.25053724828</v>
      </c>
      <c r="AB17" s="172">
        <f t="shared" si="5"/>
        <v>573.002627459318</v>
      </c>
      <c r="AC17" s="172">
        <f t="shared" si="5"/>
        <v>573.002627459318</v>
      </c>
      <c r="AD17" s="172">
        <f t="shared" si="5"/>
        <v>573.002627459318</v>
      </c>
      <c r="AE17" s="172">
        <f t="shared" si="5"/>
        <v>573.002627459318</v>
      </c>
      <c r="AF17" s="172">
        <f t="shared" si="5"/>
        <v>0</v>
      </c>
      <c r="AG17" s="172">
        <f t="shared" si="5"/>
        <v>0</v>
      </c>
      <c r="AH17" s="172" t="e">
        <f t="shared" si="5"/>
        <v>#N/A</v>
      </c>
      <c r="AI17" s="172">
        <f t="shared" si="2"/>
        <v>25197.8137878792</v>
      </c>
    </row>
    <row r="18" spans="1:35">
      <c r="A18" s="173" t="s">
        <v>459</v>
      </c>
      <c r="B18" s="172">
        <f>分年计划及建设期利息!E15-B21</f>
        <v>12894.01</v>
      </c>
      <c r="C18" s="172"/>
      <c r="D18" s="172"/>
      <c r="E18" s="172"/>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72"/>
      <c r="AH18" s="172"/>
      <c r="AI18" s="172">
        <f t="shared" si="2"/>
        <v>12894.01</v>
      </c>
    </row>
    <row r="19" spans="1:35">
      <c r="A19" s="173" t="s">
        <v>460</v>
      </c>
      <c r="B19" s="172">
        <f t="array" ref="B19:AH19">TRANSPOSE(税费计算!O5:O36)</f>
        <v>0</v>
      </c>
      <c r="C19" s="172">
        <v>71.79</v>
      </c>
      <c r="D19" s="172">
        <v>78.97</v>
      </c>
      <c r="E19" s="172">
        <v>86.15</v>
      </c>
      <c r="F19" s="172">
        <v>93.33</v>
      </c>
      <c r="G19" s="172">
        <v>100.51</v>
      </c>
      <c r="H19" s="172">
        <v>113.07</v>
      </c>
      <c r="I19" s="172">
        <v>113.07</v>
      </c>
      <c r="J19" s="172">
        <v>113.07</v>
      </c>
      <c r="K19" s="172">
        <v>113.07</v>
      </c>
      <c r="L19" s="172">
        <v>113.07</v>
      </c>
      <c r="M19" s="172">
        <v>118.73</v>
      </c>
      <c r="N19" s="172">
        <v>118.73</v>
      </c>
      <c r="O19" s="172">
        <v>118.73</v>
      </c>
      <c r="P19" s="174">
        <v>118.73</v>
      </c>
      <c r="Q19" s="174">
        <v>118.73</v>
      </c>
      <c r="R19" s="174">
        <v>158.057889908256</v>
      </c>
      <c r="S19" s="174">
        <v>243.52119266055</v>
      </c>
      <c r="T19" s="174">
        <v>243.52119266055</v>
      </c>
      <c r="U19" s="174">
        <v>243.52119266055</v>
      </c>
      <c r="V19" s="174">
        <v>243.52119266055</v>
      </c>
      <c r="W19" s="174">
        <v>256.69752293578</v>
      </c>
      <c r="X19" s="174">
        <v>256.69752293578</v>
      </c>
      <c r="Y19" s="174">
        <v>256.69752293578</v>
      </c>
      <c r="Z19" s="174">
        <v>256.69752293578</v>
      </c>
      <c r="AA19" s="174">
        <v>256.69752293578</v>
      </c>
      <c r="AB19" s="174">
        <v>270.590917431193</v>
      </c>
      <c r="AC19" s="174">
        <v>270.590917431193</v>
      </c>
      <c r="AD19" s="174">
        <v>270.590917431193</v>
      </c>
      <c r="AE19" s="174">
        <v>270.590917431193</v>
      </c>
      <c r="AF19" s="174">
        <v>0</v>
      </c>
      <c r="AG19" s="174">
        <v>0</v>
      </c>
      <c r="AH19" s="174" t="e">
        <v>#N/A</v>
      </c>
      <c r="AI19" s="172">
        <f t="shared" si="2"/>
        <v>5087.74394495413</v>
      </c>
    </row>
    <row r="20" spans="1:35">
      <c r="A20" s="173" t="s">
        <v>461</v>
      </c>
      <c r="B20" s="172">
        <f t="array" ref="B20:AH20">TRANSPOSE(收入成本!AL4:AL35)</f>
        <v>0</v>
      </c>
      <c r="C20" s="172">
        <v>182.4635</v>
      </c>
      <c r="D20" s="172">
        <v>188.2935</v>
      </c>
      <c r="E20" s="172">
        <v>194.1125</v>
      </c>
      <c r="F20" s="172">
        <v>199.5405</v>
      </c>
      <c r="G20" s="172">
        <v>204.4315</v>
      </c>
      <c r="H20" s="172">
        <v>224.7115</v>
      </c>
      <c r="I20" s="172">
        <v>224.7115</v>
      </c>
      <c r="J20" s="172">
        <v>224.7115</v>
      </c>
      <c r="K20" s="172">
        <v>224.7115</v>
      </c>
      <c r="L20" s="172">
        <v>224.7115</v>
      </c>
      <c r="M20" s="172">
        <v>241.841725</v>
      </c>
      <c r="N20" s="172">
        <v>241.841725</v>
      </c>
      <c r="O20" s="172">
        <v>241.841725</v>
      </c>
      <c r="P20" s="172">
        <v>241.841725</v>
      </c>
      <c r="Q20" s="172">
        <v>241.841725</v>
      </c>
      <c r="R20" s="172">
        <v>260.40806125</v>
      </c>
      <c r="S20" s="172">
        <v>260.40806125</v>
      </c>
      <c r="T20" s="172">
        <v>260.40806125</v>
      </c>
      <c r="U20" s="172">
        <v>260.40806125</v>
      </c>
      <c r="V20" s="172">
        <v>260.40806125</v>
      </c>
      <c r="W20" s="172">
        <v>280.5530143125</v>
      </c>
      <c r="X20" s="172">
        <v>280.5530143125</v>
      </c>
      <c r="Y20" s="172">
        <v>280.5530143125</v>
      </c>
      <c r="Z20" s="172">
        <v>280.5530143125</v>
      </c>
      <c r="AA20" s="172">
        <v>280.5530143125</v>
      </c>
      <c r="AB20" s="172">
        <v>302.411710028125</v>
      </c>
      <c r="AC20" s="172">
        <v>302.411710028125</v>
      </c>
      <c r="AD20" s="172">
        <v>302.411710028125</v>
      </c>
      <c r="AE20" s="172">
        <v>302.411710028125</v>
      </c>
      <c r="AF20" s="172">
        <v>0</v>
      </c>
      <c r="AG20" s="172">
        <v>0</v>
      </c>
      <c r="AH20" s="172" t="e">
        <v>#N/A</v>
      </c>
      <c r="AI20" s="172">
        <f t="shared" si="2"/>
        <v>7216.059842925</v>
      </c>
    </row>
    <row r="21" spans="1:35">
      <c r="A21" s="173" t="s">
        <v>462</v>
      </c>
      <c r="B21" s="172">
        <f t="shared" ref="B21:AF21" si="6">SUM(B22:B24)</f>
        <v>279</v>
      </c>
      <c r="C21" s="172">
        <f t="shared" si="6"/>
        <v>270</v>
      </c>
      <c r="D21" s="172">
        <f t="shared" si="6"/>
        <v>270</v>
      </c>
      <c r="E21" s="172">
        <f t="shared" si="6"/>
        <v>270</v>
      </c>
      <c r="F21" s="172">
        <f t="shared" si="6"/>
        <v>270</v>
      </c>
      <c r="G21" s="172">
        <f t="shared" si="6"/>
        <v>270</v>
      </c>
      <c r="H21" s="172">
        <f t="shared" si="6"/>
        <v>270</v>
      </c>
      <c r="I21" s="172">
        <f t="shared" si="6"/>
        <v>270</v>
      </c>
      <c r="J21" s="172">
        <f t="shared" si="6"/>
        <v>270</v>
      </c>
      <c r="K21" s="172">
        <f t="shared" si="6"/>
        <v>270</v>
      </c>
      <c r="L21" s="172">
        <f t="shared" si="6"/>
        <v>270</v>
      </c>
      <c r="M21" s="172">
        <f t="shared" si="6"/>
        <v>270</v>
      </c>
      <c r="N21" s="172">
        <f t="shared" si="6"/>
        <v>270</v>
      </c>
      <c r="O21" s="172">
        <f t="shared" si="6"/>
        <v>270</v>
      </c>
      <c r="P21" s="172">
        <f t="shared" si="6"/>
        <v>270</v>
      </c>
      <c r="Q21" s="172">
        <f t="shared" si="6"/>
        <v>270</v>
      </c>
      <c r="R21" s="172">
        <f t="shared" si="6"/>
        <v>270</v>
      </c>
      <c r="S21" s="172">
        <f t="shared" si="6"/>
        <v>270</v>
      </c>
      <c r="T21" s="172">
        <f t="shared" si="6"/>
        <v>270</v>
      </c>
      <c r="U21" s="172">
        <f t="shared" si="6"/>
        <v>270</v>
      </c>
      <c r="V21" s="172">
        <f t="shared" si="6"/>
        <v>270</v>
      </c>
      <c r="W21" s="172">
        <f t="shared" si="6"/>
        <v>270</v>
      </c>
      <c r="X21" s="172">
        <f t="shared" si="6"/>
        <v>270</v>
      </c>
      <c r="Y21" s="172">
        <f t="shared" si="6"/>
        <v>270</v>
      </c>
      <c r="Z21" s="172">
        <f t="shared" si="6"/>
        <v>270</v>
      </c>
      <c r="AA21" s="172">
        <f t="shared" si="6"/>
        <v>270</v>
      </c>
      <c r="AB21" s="172">
        <f t="shared" si="6"/>
        <v>270</v>
      </c>
      <c r="AC21" s="172">
        <f t="shared" si="6"/>
        <v>270</v>
      </c>
      <c r="AD21" s="172">
        <f t="shared" si="6"/>
        <v>270</v>
      </c>
      <c r="AE21" s="172">
        <f t="shared" si="6"/>
        <v>9270</v>
      </c>
      <c r="AF21" s="172">
        <f t="shared" si="6"/>
        <v>0</v>
      </c>
      <c r="AG21" s="172"/>
      <c r="AH21" s="172"/>
      <c r="AI21" s="172">
        <f t="shared" si="2"/>
        <v>17109</v>
      </c>
    </row>
    <row r="22" spans="1:35">
      <c r="A22" s="173" t="s">
        <v>463</v>
      </c>
      <c r="B22" s="172">
        <f>B14*0.1%</f>
        <v>9</v>
      </c>
      <c r="C22" s="172">
        <f t="shared" ref="C22:AH22" si="7">C14*0.1%</f>
        <v>0</v>
      </c>
      <c r="D22" s="172">
        <f t="shared" si="7"/>
        <v>0</v>
      </c>
      <c r="E22" s="172">
        <f t="shared" si="7"/>
        <v>0</v>
      </c>
      <c r="F22" s="172">
        <f t="shared" si="7"/>
        <v>0</v>
      </c>
      <c r="G22" s="172">
        <f t="shared" si="7"/>
        <v>0</v>
      </c>
      <c r="H22" s="172">
        <f t="shared" si="7"/>
        <v>0</v>
      </c>
      <c r="I22" s="172">
        <f t="shared" si="7"/>
        <v>0</v>
      </c>
      <c r="J22" s="172">
        <f t="shared" si="7"/>
        <v>0</v>
      </c>
      <c r="K22" s="172">
        <f t="shared" si="7"/>
        <v>0</v>
      </c>
      <c r="L22" s="172">
        <f t="shared" si="7"/>
        <v>0</v>
      </c>
      <c r="M22" s="172">
        <f t="shared" si="7"/>
        <v>0</v>
      </c>
      <c r="N22" s="172">
        <f t="shared" si="7"/>
        <v>0</v>
      </c>
      <c r="O22" s="172">
        <f t="shared" si="7"/>
        <v>0</v>
      </c>
      <c r="P22" s="172">
        <f t="shared" si="7"/>
        <v>0</v>
      </c>
      <c r="Q22" s="172">
        <f t="shared" si="7"/>
        <v>0</v>
      </c>
      <c r="R22" s="172">
        <f t="shared" si="7"/>
        <v>0</v>
      </c>
      <c r="S22" s="172">
        <f t="shared" si="7"/>
        <v>0</v>
      </c>
      <c r="T22" s="172">
        <f t="shared" si="7"/>
        <v>0</v>
      </c>
      <c r="U22" s="172">
        <f t="shared" si="7"/>
        <v>0</v>
      </c>
      <c r="V22" s="172">
        <f t="shared" si="7"/>
        <v>0</v>
      </c>
      <c r="W22" s="172">
        <f t="shared" si="7"/>
        <v>0</v>
      </c>
      <c r="X22" s="172">
        <f t="shared" si="7"/>
        <v>0</v>
      </c>
      <c r="Y22" s="172">
        <f t="shared" si="7"/>
        <v>0</v>
      </c>
      <c r="Z22" s="172">
        <f t="shared" si="7"/>
        <v>0</v>
      </c>
      <c r="AA22" s="172">
        <f t="shared" si="7"/>
        <v>0</v>
      </c>
      <c r="AB22" s="172">
        <f t="shared" si="7"/>
        <v>0</v>
      </c>
      <c r="AC22" s="172">
        <f t="shared" si="7"/>
        <v>0</v>
      </c>
      <c r="AD22" s="172">
        <f t="shared" si="7"/>
        <v>0</v>
      </c>
      <c r="AE22" s="172">
        <f t="shared" si="7"/>
        <v>0</v>
      </c>
      <c r="AF22" s="172">
        <f t="shared" si="7"/>
        <v>0</v>
      </c>
      <c r="AG22" s="172">
        <f t="shared" si="7"/>
        <v>0</v>
      </c>
      <c r="AH22" s="172">
        <f t="shared" si="7"/>
        <v>0</v>
      </c>
      <c r="AI22" s="172">
        <f t="shared" si="2"/>
        <v>9</v>
      </c>
    </row>
    <row r="23" spans="1:35">
      <c r="A23" s="173" t="s">
        <v>464</v>
      </c>
      <c r="B23" s="172">
        <f t="array" ref="B23:AH23">TRANSPOSE(还本付息!E5:E37)</f>
        <v>0</v>
      </c>
      <c r="C23" s="172">
        <v>0</v>
      </c>
      <c r="D23" s="172">
        <v>0</v>
      </c>
      <c r="E23" s="172">
        <v>0</v>
      </c>
      <c r="F23" s="172">
        <v>0</v>
      </c>
      <c r="G23" s="172">
        <v>0</v>
      </c>
      <c r="H23" s="172">
        <v>0</v>
      </c>
      <c r="I23" s="172">
        <v>0</v>
      </c>
      <c r="J23" s="172">
        <v>0</v>
      </c>
      <c r="K23" s="172">
        <v>0</v>
      </c>
      <c r="L23" s="172">
        <v>0</v>
      </c>
      <c r="M23" s="172">
        <v>0</v>
      </c>
      <c r="N23" s="172">
        <v>0</v>
      </c>
      <c r="O23" s="172">
        <v>0</v>
      </c>
      <c r="P23" s="172">
        <v>0</v>
      </c>
      <c r="Q23" s="172">
        <v>0</v>
      </c>
      <c r="R23" s="172">
        <v>0</v>
      </c>
      <c r="S23" s="172">
        <v>0</v>
      </c>
      <c r="T23" s="172">
        <v>0</v>
      </c>
      <c r="U23" s="172">
        <v>0</v>
      </c>
      <c r="V23" s="172">
        <v>0</v>
      </c>
      <c r="W23" s="172">
        <v>0</v>
      </c>
      <c r="X23" s="172">
        <v>0</v>
      </c>
      <c r="Y23" s="172">
        <v>0</v>
      </c>
      <c r="Z23" s="172">
        <v>0</v>
      </c>
      <c r="AA23" s="172">
        <v>0</v>
      </c>
      <c r="AB23" s="172">
        <v>0</v>
      </c>
      <c r="AC23" s="172">
        <v>0</v>
      </c>
      <c r="AD23" s="172">
        <v>0</v>
      </c>
      <c r="AE23" s="172">
        <v>9000</v>
      </c>
      <c r="AF23" s="172">
        <v>0</v>
      </c>
      <c r="AG23" s="172">
        <v>0</v>
      </c>
      <c r="AH23" s="172">
        <v>0</v>
      </c>
      <c r="AI23" s="172">
        <f t="shared" si="2"/>
        <v>9000</v>
      </c>
    </row>
    <row r="24" spans="1:35">
      <c r="A24" s="173" t="s">
        <v>465</v>
      </c>
      <c r="B24" s="172">
        <f t="array" ref="B24:AH24">TRANSPOSE(还本付息!H5:H37)</f>
        <v>270</v>
      </c>
      <c r="C24" s="172">
        <v>270</v>
      </c>
      <c r="D24" s="172">
        <v>270</v>
      </c>
      <c r="E24" s="172">
        <v>270</v>
      </c>
      <c r="F24" s="172">
        <v>270</v>
      </c>
      <c r="G24" s="172">
        <v>270</v>
      </c>
      <c r="H24" s="172">
        <v>270</v>
      </c>
      <c r="I24" s="172">
        <v>270</v>
      </c>
      <c r="J24" s="172">
        <v>270</v>
      </c>
      <c r="K24" s="172">
        <v>270</v>
      </c>
      <c r="L24" s="172">
        <v>270</v>
      </c>
      <c r="M24" s="172">
        <v>270</v>
      </c>
      <c r="N24" s="172">
        <v>270</v>
      </c>
      <c r="O24" s="172">
        <v>270</v>
      </c>
      <c r="P24" s="172">
        <v>270</v>
      </c>
      <c r="Q24" s="172">
        <v>270</v>
      </c>
      <c r="R24" s="172">
        <v>270</v>
      </c>
      <c r="S24" s="172">
        <v>270</v>
      </c>
      <c r="T24" s="172">
        <v>270</v>
      </c>
      <c r="U24" s="172">
        <v>270</v>
      </c>
      <c r="V24" s="172">
        <v>270</v>
      </c>
      <c r="W24" s="172">
        <v>270</v>
      </c>
      <c r="X24" s="172">
        <v>270</v>
      </c>
      <c r="Y24" s="172">
        <v>270</v>
      </c>
      <c r="Z24" s="172">
        <v>270</v>
      </c>
      <c r="AA24" s="172">
        <v>270</v>
      </c>
      <c r="AB24" s="172">
        <v>270</v>
      </c>
      <c r="AC24" s="172">
        <v>270</v>
      </c>
      <c r="AD24" s="172">
        <v>270</v>
      </c>
      <c r="AE24" s="172">
        <v>270</v>
      </c>
      <c r="AF24" s="172">
        <v>0</v>
      </c>
      <c r="AG24" s="172">
        <v>0</v>
      </c>
      <c r="AH24" s="172">
        <v>0</v>
      </c>
      <c r="AI24" s="172">
        <f t="shared" si="2"/>
        <v>8100</v>
      </c>
    </row>
    <row r="25" spans="1:35">
      <c r="A25" s="173" t="s">
        <v>466</v>
      </c>
      <c r="B25" s="172"/>
      <c r="C25" s="172">
        <f>B27</f>
        <v>0</v>
      </c>
      <c r="D25" s="172">
        <f t="shared" ref="D25:AH25" si="8">C27</f>
        <v>8962.8565</v>
      </c>
      <c r="E25" s="172">
        <f t="shared" si="8"/>
        <v>9199.863</v>
      </c>
      <c r="F25" s="172">
        <f t="shared" si="8"/>
        <v>9507.0505</v>
      </c>
      <c r="G25" s="172">
        <f t="shared" si="8"/>
        <v>9879.19</v>
      </c>
      <c r="H25" s="172">
        <f t="shared" si="8"/>
        <v>10309.0785</v>
      </c>
      <c r="I25" s="172">
        <f t="shared" si="8"/>
        <v>10829.437</v>
      </c>
      <c r="J25" s="172">
        <f t="shared" si="8"/>
        <v>11349.7955</v>
      </c>
      <c r="K25" s="172">
        <f t="shared" si="8"/>
        <v>11870.154</v>
      </c>
      <c r="L25" s="172">
        <f t="shared" si="8"/>
        <v>12390.5125</v>
      </c>
      <c r="M25" s="172">
        <f t="shared" si="8"/>
        <v>12910.871</v>
      </c>
      <c r="N25" s="172">
        <f t="shared" si="8"/>
        <v>13471.199275</v>
      </c>
      <c r="O25" s="172">
        <f t="shared" si="8"/>
        <v>14031.52755</v>
      </c>
      <c r="P25" s="172">
        <f t="shared" si="8"/>
        <v>14591.855825</v>
      </c>
      <c r="Q25" s="172">
        <f t="shared" si="8"/>
        <v>15152.1841</v>
      </c>
      <c r="R25" s="172">
        <f t="shared" si="8"/>
        <v>15712.512375</v>
      </c>
      <c r="S25" s="172">
        <f t="shared" si="8"/>
        <v>16281.4064238417</v>
      </c>
      <c r="T25" s="172">
        <f t="shared" si="8"/>
        <v>16764.8371699312</v>
      </c>
      <c r="U25" s="172">
        <f t="shared" si="8"/>
        <v>17248.2679160206</v>
      </c>
      <c r="V25" s="172">
        <f t="shared" si="8"/>
        <v>17731.6986621101</v>
      </c>
      <c r="W25" s="172">
        <f t="shared" si="8"/>
        <v>18215.1294081995</v>
      </c>
      <c r="X25" s="172">
        <f t="shared" si="8"/>
        <v>18735.7788709513</v>
      </c>
      <c r="Y25" s="172">
        <f t="shared" si="8"/>
        <v>19256.428333703</v>
      </c>
      <c r="Z25" s="172">
        <f t="shared" si="8"/>
        <v>19777.0777964547</v>
      </c>
      <c r="AA25" s="172">
        <f t="shared" si="8"/>
        <v>20297.7272592064</v>
      </c>
      <c r="AB25" s="172">
        <f t="shared" si="8"/>
        <v>20818.3767219581</v>
      </c>
      <c r="AC25" s="172">
        <f t="shared" si="8"/>
        <v>21378.1040944988</v>
      </c>
      <c r="AD25" s="172">
        <f t="shared" si="8"/>
        <v>21937.8314670395</v>
      </c>
      <c r="AE25" s="172">
        <f t="shared" si="8"/>
        <v>22497.5588395802</v>
      </c>
      <c r="AF25" s="172">
        <f t="shared" si="8"/>
        <v>14057.2862121209</v>
      </c>
      <c r="AG25" s="172" t="e">
        <f t="shared" si="8"/>
        <v>#N/A</v>
      </c>
      <c r="AH25" s="172" t="e">
        <f t="shared" si="8"/>
        <v>#N/A</v>
      </c>
      <c r="AI25" s="172"/>
    </row>
    <row r="26" spans="1:35">
      <c r="A26" s="173" t="s">
        <v>467</v>
      </c>
      <c r="B26" s="172">
        <f>B4-B16</f>
        <v>0</v>
      </c>
      <c r="C26" s="172">
        <f t="shared" ref="C26:AH26" si="9">C4-C16</f>
        <v>8962.8565</v>
      </c>
      <c r="D26" s="172">
        <f t="shared" si="9"/>
        <v>237.0065</v>
      </c>
      <c r="E26" s="172">
        <f t="shared" si="9"/>
        <v>307.1875</v>
      </c>
      <c r="F26" s="172">
        <f t="shared" si="9"/>
        <v>372.1395</v>
      </c>
      <c r="G26" s="172">
        <f t="shared" si="9"/>
        <v>429.8885</v>
      </c>
      <c r="H26" s="172">
        <f t="shared" si="9"/>
        <v>520.3585</v>
      </c>
      <c r="I26" s="172">
        <f t="shared" si="9"/>
        <v>520.3585</v>
      </c>
      <c r="J26" s="172">
        <f t="shared" si="9"/>
        <v>520.3585</v>
      </c>
      <c r="K26" s="172">
        <f t="shared" si="9"/>
        <v>520.3585</v>
      </c>
      <c r="L26" s="172">
        <f t="shared" si="9"/>
        <v>520.3585</v>
      </c>
      <c r="M26" s="172">
        <f t="shared" si="9"/>
        <v>560.328275</v>
      </c>
      <c r="N26" s="172">
        <f t="shared" si="9"/>
        <v>560.328275</v>
      </c>
      <c r="O26" s="172">
        <f t="shared" si="9"/>
        <v>560.328275</v>
      </c>
      <c r="P26" s="172">
        <f t="shared" si="9"/>
        <v>560.328275</v>
      </c>
      <c r="Q26" s="172">
        <f t="shared" si="9"/>
        <v>560.328275</v>
      </c>
      <c r="R26" s="172">
        <f t="shared" si="9"/>
        <v>568.894048841744</v>
      </c>
      <c r="S26" s="172">
        <f t="shared" si="9"/>
        <v>483.43074608945</v>
      </c>
      <c r="T26" s="172">
        <f t="shared" si="9"/>
        <v>483.43074608945</v>
      </c>
      <c r="U26" s="172">
        <f t="shared" si="9"/>
        <v>483.43074608945</v>
      </c>
      <c r="V26" s="172">
        <f t="shared" si="9"/>
        <v>483.43074608945</v>
      </c>
      <c r="W26" s="172">
        <f t="shared" si="9"/>
        <v>520.64946275172</v>
      </c>
      <c r="X26" s="172">
        <f t="shared" si="9"/>
        <v>520.64946275172</v>
      </c>
      <c r="Y26" s="172">
        <f t="shared" si="9"/>
        <v>520.64946275172</v>
      </c>
      <c r="Z26" s="172">
        <f t="shared" si="9"/>
        <v>520.64946275172</v>
      </c>
      <c r="AA26" s="172">
        <f t="shared" si="9"/>
        <v>520.64946275172</v>
      </c>
      <c r="AB26" s="172">
        <f t="shared" si="9"/>
        <v>559.727372540682</v>
      </c>
      <c r="AC26" s="172">
        <f t="shared" si="9"/>
        <v>559.727372540682</v>
      </c>
      <c r="AD26" s="172">
        <f t="shared" si="9"/>
        <v>559.727372540682</v>
      </c>
      <c r="AE26" s="172">
        <f t="shared" si="9"/>
        <v>-8440.27262745932</v>
      </c>
      <c r="AF26" s="172" t="e">
        <f t="shared" si="9"/>
        <v>#N/A</v>
      </c>
      <c r="AG26" s="172" t="e">
        <f t="shared" si="9"/>
        <v>#N/A</v>
      </c>
      <c r="AH26" s="172" t="e">
        <f t="shared" si="9"/>
        <v>#N/A</v>
      </c>
      <c r="AI26" s="172">
        <f>SUM(B26:AE26)</f>
        <v>14057.2862121209</v>
      </c>
    </row>
    <row r="27" spans="1:35">
      <c r="A27" s="173" t="s">
        <v>468</v>
      </c>
      <c r="B27" s="172">
        <f>B25+B26</f>
        <v>0</v>
      </c>
      <c r="C27" s="172">
        <f t="shared" ref="C27:AH27" si="10">C25+C26</f>
        <v>8962.8565</v>
      </c>
      <c r="D27" s="172">
        <f t="shared" si="10"/>
        <v>9199.863</v>
      </c>
      <c r="E27" s="172">
        <f t="shared" si="10"/>
        <v>9507.0505</v>
      </c>
      <c r="F27" s="172">
        <f t="shared" si="10"/>
        <v>9879.19</v>
      </c>
      <c r="G27" s="172">
        <f t="shared" si="10"/>
        <v>10309.0785</v>
      </c>
      <c r="H27" s="172">
        <f t="shared" si="10"/>
        <v>10829.437</v>
      </c>
      <c r="I27" s="172">
        <f t="shared" si="10"/>
        <v>11349.7955</v>
      </c>
      <c r="J27" s="172">
        <f t="shared" si="10"/>
        <v>11870.154</v>
      </c>
      <c r="K27" s="172">
        <f t="shared" si="10"/>
        <v>12390.5125</v>
      </c>
      <c r="L27" s="172">
        <f t="shared" si="10"/>
        <v>12910.871</v>
      </c>
      <c r="M27" s="172">
        <f t="shared" si="10"/>
        <v>13471.199275</v>
      </c>
      <c r="N27" s="172">
        <f t="shared" si="10"/>
        <v>14031.52755</v>
      </c>
      <c r="O27" s="172">
        <f t="shared" si="10"/>
        <v>14591.855825</v>
      </c>
      <c r="P27" s="172">
        <f t="shared" si="10"/>
        <v>15152.1841</v>
      </c>
      <c r="Q27" s="172">
        <f t="shared" si="10"/>
        <v>15712.512375</v>
      </c>
      <c r="R27" s="172">
        <f t="shared" si="10"/>
        <v>16281.4064238417</v>
      </c>
      <c r="S27" s="172">
        <f t="shared" si="10"/>
        <v>16764.8371699312</v>
      </c>
      <c r="T27" s="172">
        <f t="shared" si="10"/>
        <v>17248.2679160206</v>
      </c>
      <c r="U27" s="172">
        <f t="shared" si="10"/>
        <v>17731.6986621101</v>
      </c>
      <c r="V27" s="172">
        <f t="shared" si="10"/>
        <v>18215.1294081995</v>
      </c>
      <c r="W27" s="172">
        <f t="shared" si="10"/>
        <v>18735.7788709513</v>
      </c>
      <c r="X27" s="172">
        <f t="shared" si="10"/>
        <v>19256.428333703</v>
      </c>
      <c r="Y27" s="172">
        <f t="shared" si="10"/>
        <v>19777.0777964547</v>
      </c>
      <c r="Z27" s="172">
        <f t="shared" si="10"/>
        <v>20297.7272592064</v>
      </c>
      <c r="AA27" s="172">
        <f t="shared" si="10"/>
        <v>20818.3767219581</v>
      </c>
      <c r="AB27" s="172">
        <f t="shared" si="10"/>
        <v>21378.1040944988</v>
      </c>
      <c r="AC27" s="172">
        <f t="shared" si="10"/>
        <v>21937.8314670395</v>
      </c>
      <c r="AD27" s="172">
        <f t="shared" si="10"/>
        <v>22497.5588395802</v>
      </c>
      <c r="AE27" s="172">
        <f t="shared" si="10"/>
        <v>14057.2862121209</v>
      </c>
      <c r="AF27" s="172" t="e">
        <f t="shared" si="10"/>
        <v>#N/A</v>
      </c>
      <c r="AG27" s="172" t="e">
        <f t="shared" si="10"/>
        <v>#N/A</v>
      </c>
      <c r="AH27" s="172" t="e">
        <f t="shared" si="10"/>
        <v>#N/A</v>
      </c>
      <c r="AI27" s="172">
        <f>AE27</f>
        <v>14057.2862121209</v>
      </c>
    </row>
  </sheetData>
  <mergeCells count="1">
    <mergeCell ref="A1:AI1"/>
  </mergeCells>
  <conditionalFormatting sqref="B27:AH27">
    <cfRule type="cellIs" dxfId="6" priority="1" operator="lessThan">
      <formula>0</formula>
    </cfRule>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
  <sheetViews>
    <sheetView workbookViewId="0">
      <selection activeCell="E41" sqref="E41"/>
    </sheetView>
  </sheetViews>
  <sheetFormatPr defaultColWidth="9" defaultRowHeight="14"/>
  <cols>
    <col min="1" max="1" width="8.89166666666667" style="153"/>
    <col min="2" max="2" width="19.1083333333333" style="153" customWidth="1"/>
    <col min="3" max="257" width="8.89166666666667" style="153"/>
    <col min="258" max="258" width="19.1083333333333" style="153" customWidth="1"/>
    <col min="259" max="513" width="8.89166666666667" style="153"/>
    <col min="514" max="514" width="19.1083333333333" style="153" customWidth="1"/>
    <col min="515" max="769" width="8.89166666666667" style="153"/>
    <col min="770" max="770" width="19.1083333333333" style="153" customWidth="1"/>
    <col min="771" max="1025" width="8.89166666666667" style="153"/>
    <col min="1026" max="1026" width="19.1083333333333" style="153" customWidth="1"/>
    <col min="1027" max="1281" width="8.89166666666667" style="153"/>
    <col min="1282" max="1282" width="19.1083333333333" style="153" customWidth="1"/>
    <col min="1283" max="1537" width="8.89166666666667" style="153"/>
    <col min="1538" max="1538" width="19.1083333333333" style="153" customWidth="1"/>
    <col min="1539" max="1793" width="8.89166666666667" style="153"/>
    <col min="1794" max="1794" width="19.1083333333333" style="153" customWidth="1"/>
    <col min="1795" max="2049" width="8.89166666666667" style="153"/>
    <col min="2050" max="2050" width="19.1083333333333" style="153" customWidth="1"/>
    <col min="2051" max="2305" width="8.89166666666667" style="153"/>
    <col min="2306" max="2306" width="19.1083333333333" style="153" customWidth="1"/>
    <col min="2307" max="2561" width="8.89166666666667" style="153"/>
    <col min="2562" max="2562" width="19.1083333333333" style="153" customWidth="1"/>
    <col min="2563" max="2817" width="8.89166666666667" style="153"/>
    <col min="2818" max="2818" width="19.1083333333333" style="153" customWidth="1"/>
    <col min="2819" max="3073" width="8.89166666666667" style="153"/>
    <col min="3074" max="3074" width="19.1083333333333" style="153" customWidth="1"/>
    <col min="3075" max="3329" width="8.89166666666667" style="153"/>
    <col min="3330" max="3330" width="19.1083333333333" style="153" customWidth="1"/>
    <col min="3331" max="3585" width="8.89166666666667" style="153"/>
    <col min="3586" max="3586" width="19.1083333333333" style="153" customWidth="1"/>
    <col min="3587" max="3841" width="8.89166666666667" style="153"/>
    <col min="3842" max="3842" width="19.1083333333333" style="153" customWidth="1"/>
    <col min="3843" max="4097" width="8.89166666666667" style="153"/>
    <col min="4098" max="4098" width="19.1083333333333" style="153" customWidth="1"/>
    <col min="4099" max="4353" width="8.89166666666667" style="153"/>
    <col min="4354" max="4354" width="19.1083333333333" style="153" customWidth="1"/>
    <col min="4355" max="4609" width="8.89166666666667" style="153"/>
    <col min="4610" max="4610" width="19.1083333333333" style="153" customWidth="1"/>
    <col min="4611" max="4865" width="8.89166666666667" style="153"/>
    <col min="4866" max="4866" width="19.1083333333333" style="153" customWidth="1"/>
    <col min="4867" max="5121" width="8.89166666666667" style="153"/>
    <col min="5122" max="5122" width="19.1083333333333" style="153" customWidth="1"/>
    <col min="5123" max="5377" width="8.89166666666667" style="153"/>
    <col min="5378" max="5378" width="19.1083333333333" style="153" customWidth="1"/>
    <col min="5379" max="5633" width="8.89166666666667" style="153"/>
    <col min="5634" max="5634" width="19.1083333333333" style="153" customWidth="1"/>
    <col min="5635" max="5889" width="8.89166666666667" style="153"/>
    <col min="5890" max="5890" width="19.1083333333333" style="153" customWidth="1"/>
    <col min="5891" max="6145" width="8.89166666666667" style="153"/>
    <col min="6146" max="6146" width="19.1083333333333" style="153" customWidth="1"/>
    <col min="6147" max="6401" width="8.89166666666667" style="153"/>
    <col min="6402" max="6402" width="19.1083333333333" style="153" customWidth="1"/>
    <col min="6403" max="6657" width="8.89166666666667" style="153"/>
    <col min="6658" max="6658" width="19.1083333333333" style="153" customWidth="1"/>
    <col min="6659" max="6913" width="8.89166666666667" style="153"/>
    <col min="6914" max="6914" width="19.1083333333333" style="153" customWidth="1"/>
    <col min="6915" max="7169" width="8.89166666666667" style="153"/>
    <col min="7170" max="7170" width="19.1083333333333" style="153" customWidth="1"/>
    <col min="7171" max="7425" width="8.89166666666667" style="153"/>
    <col min="7426" max="7426" width="19.1083333333333" style="153" customWidth="1"/>
    <col min="7427" max="7681" width="8.89166666666667" style="153"/>
    <col min="7682" max="7682" width="19.1083333333333" style="153" customWidth="1"/>
    <col min="7683" max="7937" width="8.89166666666667" style="153"/>
    <col min="7938" max="7938" width="19.1083333333333" style="153" customWidth="1"/>
    <col min="7939" max="8193" width="8.89166666666667" style="153"/>
    <col min="8194" max="8194" width="19.1083333333333" style="153" customWidth="1"/>
    <col min="8195" max="8449" width="8.89166666666667" style="153"/>
    <col min="8450" max="8450" width="19.1083333333333" style="153" customWidth="1"/>
    <col min="8451" max="8705" width="8.89166666666667" style="153"/>
    <col min="8706" max="8706" width="19.1083333333333" style="153" customWidth="1"/>
    <col min="8707" max="8961" width="8.89166666666667" style="153"/>
    <col min="8962" max="8962" width="19.1083333333333" style="153" customWidth="1"/>
    <col min="8963" max="9217" width="8.89166666666667" style="153"/>
    <col min="9218" max="9218" width="19.1083333333333" style="153" customWidth="1"/>
    <col min="9219" max="9473" width="8.89166666666667" style="153"/>
    <col min="9474" max="9474" width="19.1083333333333" style="153" customWidth="1"/>
    <col min="9475" max="9729" width="8.89166666666667" style="153"/>
    <col min="9730" max="9730" width="19.1083333333333" style="153" customWidth="1"/>
    <col min="9731" max="9985" width="8.89166666666667" style="153"/>
    <col min="9986" max="9986" width="19.1083333333333" style="153" customWidth="1"/>
    <col min="9987" max="10241" width="8.89166666666667" style="153"/>
    <col min="10242" max="10242" width="19.1083333333333" style="153" customWidth="1"/>
    <col min="10243" max="10497" width="8.89166666666667" style="153"/>
    <col min="10498" max="10498" width="19.1083333333333" style="153" customWidth="1"/>
    <col min="10499" max="10753" width="8.89166666666667" style="153"/>
    <col min="10754" max="10754" width="19.1083333333333" style="153" customWidth="1"/>
    <col min="10755" max="11009" width="8.89166666666667" style="153"/>
    <col min="11010" max="11010" width="19.1083333333333" style="153" customWidth="1"/>
    <col min="11011" max="11265" width="8.89166666666667" style="153"/>
    <col min="11266" max="11266" width="19.1083333333333" style="153" customWidth="1"/>
    <col min="11267" max="11521" width="8.89166666666667" style="153"/>
    <col min="11522" max="11522" width="19.1083333333333" style="153" customWidth="1"/>
    <col min="11523" max="11777" width="8.89166666666667" style="153"/>
    <col min="11778" max="11778" width="19.1083333333333" style="153" customWidth="1"/>
    <col min="11779" max="12033" width="8.89166666666667" style="153"/>
    <col min="12034" max="12034" width="19.1083333333333" style="153" customWidth="1"/>
    <col min="12035" max="12289" width="8.89166666666667" style="153"/>
    <col min="12290" max="12290" width="19.1083333333333" style="153" customWidth="1"/>
    <col min="12291" max="12545" width="8.89166666666667" style="153"/>
    <col min="12546" max="12546" width="19.1083333333333" style="153" customWidth="1"/>
    <col min="12547" max="12801" width="8.89166666666667" style="153"/>
    <col min="12802" max="12802" width="19.1083333333333" style="153" customWidth="1"/>
    <col min="12803" max="13057" width="8.89166666666667" style="153"/>
    <col min="13058" max="13058" width="19.1083333333333" style="153" customWidth="1"/>
    <col min="13059" max="13313" width="8.89166666666667" style="153"/>
    <col min="13314" max="13314" width="19.1083333333333" style="153" customWidth="1"/>
    <col min="13315" max="13569" width="8.89166666666667" style="153"/>
    <col min="13570" max="13570" width="19.1083333333333" style="153" customWidth="1"/>
    <col min="13571" max="13825" width="8.89166666666667" style="153"/>
    <col min="13826" max="13826" width="19.1083333333333" style="153" customWidth="1"/>
    <col min="13827" max="14081" width="8.89166666666667" style="153"/>
    <col min="14082" max="14082" width="19.1083333333333" style="153" customWidth="1"/>
    <col min="14083" max="14337" width="8.89166666666667" style="153"/>
    <col min="14338" max="14338" width="19.1083333333333" style="153" customWidth="1"/>
    <col min="14339" max="14593" width="8.89166666666667" style="153"/>
    <col min="14594" max="14594" width="19.1083333333333" style="153" customWidth="1"/>
    <col min="14595" max="14849" width="8.89166666666667" style="153"/>
    <col min="14850" max="14850" width="19.1083333333333" style="153" customWidth="1"/>
    <col min="14851" max="15105" width="8.89166666666667" style="153"/>
    <col min="15106" max="15106" width="19.1083333333333" style="153" customWidth="1"/>
    <col min="15107" max="15361" width="8.89166666666667" style="153"/>
    <col min="15362" max="15362" width="19.1083333333333" style="153" customWidth="1"/>
    <col min="15363" max="15617" width="8.89166666666667" style="153"/>
    <col min="15618" max="15618" width="19.1083333333333" style="153" customWidth="1"/>
    <col min="15619" max="15873" width="8.89166666666667" style="153"/>
    <col min="15874" max="15874" width="19.1083333333333" style="153" customWidth="1"/>
    <col min="15875" max="16129" width="8.89166666666667" style="153"/>
    <col min="16130" max="16130" width="19.1083333333333" style="153" customWidth="1"/>
    <col min="16131" max="16384" width="8.89166666666667" style="153"/>
  </cols>
  <sheetData>
    <row r="1" spans="1:17">
      <c r="A1" s="154" t="s">
        <v>0</v>
      </c>
      <c r="B1" s="154" t="s">
        <v>469</v>
      </c>
      <c r="C1" s="155" t="s">
        <v>470</v>
      </c>
      <c r="D1" s="156" t="s">
        <v>471</v>
      </c>
      <c r="E1" s="154" t="s">
        <v>472</v>
      </c>
      <c r="F1" s="154"/>
      <c r="G1" s="154"/>
      <c r="H1" s="154"/>
      <c r="I1" s="154"/>
      <c r="J1" s="154"/>
      <c r="K1" s="154"/>
      <c r="L1" s="154"/>
      <c r="M1" s="154"/>
      <c r="N1" s="154"/>
      <c r="O1" s="154"/>
      <c r="P1" s="154"/>
      <c r="Q1" s="154"/>
    </row>
    <row r="2" spans="1:17">
      <c r="A2" s="157"/>
      <c r="B2" s="157"/>
      <c r="C2" s="158" t="s">
        <v>473</v>
      </c>
      <c r="D2" s="159"/>
      <c r="E2" s="157">
        <v>4</v>
      </c>
      <c r="F2" s="157">
        <f>E2+1</f>
        <v>5</v>
      </c>
      <c r="G2" s="157">
        <f t="shared" ref="G2:Q2" si="0">F2+1</f>
        <v>6</v>
      </c>
      <c r="H2" s="157">
        <f t="shared" si="0"/>
        <v>7</v>
      </c>
      <c r="I2" s="157">
        <f t="shared" si="0"/>
        <v>8</v>
      </c>
      <c r="J2" s="157">
        <f t="shared" si="0"/>
        <v>9</v>
      </c>
      <c r="K2" s="157">
        <f t="shared" si="0"/>
        <v>10</v>
      </c>
      <c r="L2" s="157">
        <f t="shared" si="0"/>
        <v>11</v>
      </c>
      <c r="M2" s="157">
        <f t="shared" si="0"/>
        <v>12</v>
      </c>
      <c r="N2" s="157">
        <f t="shared" si="0"/>
        <v>13</v>
      </c>
      <c r="O2" s="157">
        <f t="shared" si="0"/>
        <v>14</v>
      </c>
      <c r="P2" s="157">
        <f t="shared" si="0"/>
        <v>15</v>
      </c>
      <c r="Q2" s="157">
        <f t="shared" si="0"/>
        <v>16</v>
      </c>
    </row>
    <row r="3" spans="1:17">
      <c r="A3" s="160">
        <v>1</v>
      </c>
      <c r="B3" s="161" t="s">
        <v>474</v>
      </c>
      <c r="C3" s="162">
        <v>30</v>
      </c>
      <c r="D3" s="163"/>
      <c r="E3" s="163"/>
      <c r="F3" s="163"/>
      <c r="G3" s="163"/>
      <c r="H3" s="163"/>
      <c r="I3" s="163"/>
      <c r="J3" s="163"/>
      <c r="K3" s="163"/>
      <c r="L3" s="163"/>
      <c r="M3" s="163"/>
      <c r="N3" s="163"/>
      <c r="O3" s="163"/>
      <c r="P3" s="163"/>
      <c r="Q3" s="163"/>
    </row>
    <row r="4" spans="1:17">
      <c r="A4" s="160">
        <v>1.1</v>
      </c>
      <c r="B4" s="161" t="s">
        <v>475</v>
      </c>
      <c r="C4" s="164"/>
      <c r="D4" s="165"/>
      <c r="E4" s="163">
        <f>ROUND((税费计算!U4+税费计算!U7+税费计算!U8)*0.95,2)</f>
        <v>16919.9</v>
      </c>
      <c r="F4" s="163"/>
      <c r="G4" s="163"/>
      <c r="H4" s="163"/>
      <c r="I4" s="163"/>
      <c r="J4" s="163"/>
      <c r="K4" s="163"/>
      <c r="L4" s="163"/>
      <c r="M4" s="163"/>
      <c r="N4" s="163"/>
      <c r="O4" s="163"/>
      <c r="P4" s="163"/>
      <c r="Q4" s="163"/>
    </row>
    <row r="5" spans="1:17">
      <c r="A5" s="160">
        <v>1.2</v>
      </c>
      <c r="B5" s="161" t="s">
        <v>476</v>
      </c>
      <c r="C5" s="164"/>
      <c r="D5" s="165"/>
      <c r="E5" s="163">
        <f>ROUND($E$4/$C$3,2)</f>
        <v>564</v>
      </c>
      <c r="F5" s="163">
        <f>E5</f>
        <v>564</v>
      </c>
      <c r="G5" s="163">
        <f t="shared" ref="G5:Q5" si="1">F5</f>
        <v>564</v>
      </c>
      <c r="H5" s="163">
        <f t="shared" si="1"/>
        <v>564</v>
      </c>
      <c r="I5" s="163">
        <f t="shared" si="1"/>
        <v>564</v>
      </c>
      <c r="J5" s="163">
        <f t="shared" si="1"/>
        <v>564</v>
      </c>
      <c r="K5" s="163">
        <f t="shared" si="1"/>
        <v>564</v>
      </c>
      <c r="L5" s="163">
        <f t="shared" si="1"/>
        <v>564</v>
      </c>
      <c r="M5" s="163">
        <f t="shared" si="1"/>
        <v>564</v>
      </c>
      <c r="N5" s="163">
        <f t="shared" si="1"/>
        <v>564</v>
      </c>
      <c r="O5" s="163">
        <f t="shared" si="1"/>
        <v>564</v>
      </c>
      <c r="P5" s="163">
        <f t="shared" si="1"/>
        <v>564</v>
      </c>
      <c r="Q5" s="163">
        <f t="shared" si="1"/>
        <v>564</v>
      </c>
    </row>
    <row r="6" spans="1:17">
      <c r="A6" s="160">
        <v>1.3</v>
      </c>
      <c r="B6" s="161" t="s">
        <v>477</v>
      </c>
      <c r="C6" s="164"/>
      <c r="D6" s="165"/>
      <c r="E6" s="163">
        <f>E4-E5</f>
        <v>16355.9</v>
      </c>
      <c r="F6" s="163">
        <f>E6-F5</f>
        <v>15791.9</v>
      </c>
      <c r="G6" s="163">
        <f t="shared" ref="G6:Q6" si="2">F6-G5</f>
        <v>15227.9</v>
      </c>
      <c r="H6" s="163">
        <f t="shared" si="2"/>
        <v>14663.9</v>
      </c>
      <c r="I6" s="163">
        <f t="shared" si="2"/>
        <v>14099.9</v>
      </c>
      <c r="J6" s="163">
        <f t="shared" si="2"/>
        <v>13535.9</v>
      </c>
      <c r="K6" s="163">
        <f t="shared" si="2"/>
        <v>12971.9</v>
      </c>
      <c r="L6" s="163">
        <f t="shared" si="2"/>
        <v>12407.9</v>
      </c>
      <c r="M6" s="163">
        <f t="shared" si="2"/>
        <v>11843.9</v>
      </c>
      <c r="N6" s="163">
        <f t="shared" si="2"/>
        <v>11279.9</v>
      </c>
      <c r="O6" s="163">
        <f t="shared" si="2"/>
        <v>10715.9</v>
      </c>
      <c r="P6" s="163">
        <f t="shared" si="2"/>
        <v>10151.9</v>
      </c>
      <c r="Q6" s="163">
        <f t="shared" si="2"/>
        <v>9587.9</v>
      </c>
    </row>
    <row r="7" spans="1:17">
      <c r="A7" s="160">
        <v>2</v>
      </c>
      <c r="B7" s="161" t="s">
        <v>478</v>
      </c>
      <c r="C7" s="162">
        <v>15</v>
      </c>
      <c r="D7" s="165"/>
      <c r="E7" s="163"/>
      <c r="F7" s="163"/>
      <c r="G7" s="163"/>
      <c r="H7" s="163"/>
      <c r="I7" s="163"/>
      <c r="J7" s="163"/>
      <c r="K7" s="163"/>
      <c r="L7" s="163"/>
      <c r="M7" s="163"/>
      <c r="N7" s="163"/>
      <c r="O7" s="163"/>
      <c r="P7" s="163"/>
      <c r="Q7" s="163"/>
    </row>
    <row r="8" spans="1:17">
      <c r="A8" s="160">
        <v>2.1</v>
      </c>
      <c r="B8" s="161" t="s">
        <v>475</v>
      </c>
      <c r="C8" s="164"/>
      <c r="D8" s="165"/>
      <c r="E8" s="163">
        <f>ROUND(税费计算!U5,2)</f>
        <v>0</v>
      </c>
      <c r="F8" s="163"/>
      <c r="G8" s="163"/>
      <c r="H8" s="163"/>
      <c r="I8" s="163"/>
      <c r="J8" s="163"/>
      <c r="K8" s="163"/>
      <c r="L8" s="163"/>
      <c r="M8" s="163"/>
      <c r="N8" s="163"/>
      <c r="O8" s="163"/>
      <c r="P8" s="163"/>
      <c r="Q8" s="163"/>
    </row>
    <row r="9" spans="1:17">
      <c r="A9" s="160">
        <v>2.2</v>
      </c>
      <c r="B9" s="161" t="s">
        <v>476</v>
      </c>
      <c r="C9" s="164"/>
      <c r="D9" s="165"/>
      <c r="E9" s="163">
        <f>ROUND($E$8/$C$7,2)</f>
        <v>0</v>
      </c>
      <c r="F9" s="163">
        <f>E9</f>
        <v>0</v>
      </c>
      <c r="G9" s="163">
        <f t="shared" ref="G9:Q9" si="3">F9</f>
        <v>0</v>
      </c>
      <c r="H9" s="163">
        <f t="shared" si="3"/>
        <v>0</v>
      </c>
      <c r="I9" s="163">
        <f t="shared" si="3"/>
        <v>0</v>
      </c>
      <c r="J9" s="163">
        <f t="shared" si="3"/>
        <v>0</v>
      </c>
      <c r="K9" s="163">
        <f t="shared" si="3"/>
        <v>0</v>
      </c>
      <c r="L9" s="163">
        <f t="shared" si="3"/>
        <v>0</v>
      </c>
      <c r="M9" s="163">
        <f t="shared" si="3"/>
        <v>0</v>
      </c>
      <c r="N9" s="163">
        <f t="shared" si="3"/>
        <v>0</v>
      </c>
      <c r="O9" s="163">
        <f t="shared" si="3"/>
        <v>0</v>
      </c>
      <c r="P9" s="163">
        <f t="shared" si="3"/>
        <v>0</v>
      </c>
      <c r="Q9" s="163">
        <f t="shared" si="3"/>
        <v>0</v>
      </c>
    </row>
    <row r="10" spans="1:17">
      <c r="A10" s="160">
        <v>2.3</v>
      </c>
      <c r="B10" s="161" t="s">
        <v>477</v>
      </c>
      <c r="C10" s="164"/>
      <c r="D10" s="165"/>
      <c r="E10" s="163">
        <f>E8-E9</f>
        <v>0</v>
      </c>
      <c r="F10" s="163">
        <f>E10-F9</f>
        <v>0</v>
      </c>
      <c r="G10" s="163">
        <f t="shared" ref="G10:Q10" si="4">F10-G9</f>
        <v>0</v>
      </c>
      <c r="H10" s="163">
        <f t="shared" si="4"/>
        <v>0</v>
      </c>
      <c r="I10" s="163">
        <f t="shared" si="4"/>
        <v>0</v>
      </c>
      <c r="J10" s="163">
        <f t="shared" si="4"/>
        <v>0</v>
      </c>
      <c r="K10" s="163">
        <f t="shared" si="4"/>
        <v>0</v>
      </c>
      <c r="L10" s="163">
        <f t="shared" si="4"/>
        <v>0</v>
      </c>
      <c r="M10" s="163">
        <f t="shared" si="4"/>
        <v>0</v>
      </c>
      <c r="N10" s="163">
        <f t="shared" si="4"/>
        <v>0</v>
      </c>
      <c r="O10" s="163">
        <f t="shared" si="4"/>
        <v>0</v>
      </c>
      <c r="P10" s="163">
        <f t="shared" si="4"/>
        <v>0</v>
      </c>
      <c r="Q10" s="163">
        <f t="shared" si="4"/>
        <v>0</v>
      </c>
    </row>
    <row r="11" spans="1:17">
      <c r="A11" s="160">
        <v>3</v>
      </c>
      <c r="B11" s="166" t="s">
        <v>479</v>
      </c>
      <c r="C11" s="162">
        <v>20</v>
      </c>
      <c r="D11" s="165"/>
      <c r="E11" s="163"/>
      <c r="F11" s="163"/>
      <c r="G11" s="163"/>
      <c r="H11" s="163"/>
      <c r="I11" s="163"/>
      <c r="J11" s="163"/>
      <c r="K11" s="163"/>
      <c r="L11" s="163"/>
      <c r="M11" s="163"/>
      <c r="N11" s="163"/>
      <c r="O11" s="163"/>
      <c r="P11" s="163"/>
      <c r="Q11" s="163"/>
    </row>
    <row r="12" spans="1:17">
      <c r="A12" s="160">
        <v>3.1</v>
      </c>
      <c r="B12" s="166" t="s">
        <v>475</v>
      </c>
      <c r="C12" s="163"/>
      <c r="D12" s="165"/>
      <c r="E12" s="163">
        <f>ROUND(税费计算!U6,2)</f>
        <v>2754.06</v>
      </c>
      <c r="F12" s="163"/>
      <c r="G12" s="163"/>
      <c r="H12" s="163"/>
      <c r="I12" s="163"/>
      <c r="J12" s="163"/>
      <c r="K12" s="163"/>
      <c r="L12" s="163"/>
      <c r="M12" s="163"/>
      <c r="N12" s="163"/>
      <c r="O12" s="163"/>
      <c r="P12" s="163"/>
      <c r="Q12" s="163"/>
    </row>
    <row r="13" spans="1:17">
      <c r="A13" s="160">
        <v>3.2</v>
      </c>
      <c r="B13" s="166" t="s">
        <v>476</v>
      </c>
      <c r="C13" s="163"/>
      <c r="D13" s="165"/>
      <c r="E13" s="163">
        <f>ROUND(E12/$C$11,2)</f>
        <v>137.7</v>
      </c>
      <c r="F13" s="163">
        <f>E13</f>
        <v>137.7</v>
      </c>
      <c r="G13" s="163">
        <f t="shared" ref="G13:Q13" si="5">F13</f>
        <v>137.7</v>
      </c>
      <c r="H13" s="163">
        <f t="shared" si="5"/>
        <v>137.7</v>
      </c>
      <c r="I13" s="163">
        <f t="shared" si="5"/>
        <v>137.7</v>
      </c>
      <c r="J13" s="163">
        <f t="shared" si="5"/>
        <v>137.7</v>
      </c>
      <c r="K13" s="163">
        <f t="shared" si="5"/>
        <v>137.7</v>
      </c>
      <c r="L13" s="163">
        <f t="shared" si="5"/>
        <v>137.7</v>
      </c>
      <c r="M13" s="163">
        <f t="shared" si="5"/>
        <v>137.7</v>
      </c>
      <c r="N13" s="163">
        <f t="shared" si="5"/>
        <v>137.7</v>
      </c>
      <c r="O13" s="163">
        <f t="shared" si="5"/>
        <v>137.7</v>
      </c>
      <c r="P13" s="163">
        <f t="shared" si="5"/>
        <v>137.7</v>
      </c>
      <c r="Q13" s="163">
        <f t="shared" si="5"/>
        <v>137.7</v>
      </c>
    </row>
    <row r="14" spans="1:17">
      <c r="A14" s="160">
        <v>3.3</v>
      </c>
      <c r="B14" s="166" t="s">
        <v>477</v>
      </c>
      <c r="C14" s="163"/>
      <c r="D14" s="165"/>
      <c r="E14" s="163">
        <f>E12-E13</f>
        <v>2616.36</v>
      </c>
      <c r="F14" s="163">
        <f>E14-F13</f>
        <v>2478.66</v>
      </c>
      <c r="G14" s="163">
        <f t="shared" ref="G14:Q14" si="6">F14-G13</f>
        <v>2340.96</v>
      </c>
      <c r="H14" s="163">
        <f t="shared" si="6"/>
        <v>2203.26</v>
      </c>
      <c r="I14" s="163">
        <f t="shared" si="6"/>
        <v>2065.56</v>
      </c>
      <c r="J14" s="163">
        <f t="shared" si="6"/>
        <v>1927.86</v>
      </c>
      <c r="K14" s="163">
        <f t="shared" si="6"/>
        <v>1790.16</v>
      </c>
      <c r="L14" s="163">
        <f t="shared" si="6"/>
        <v>1652.46</v>
      </c>
      <c r="M14" s="163">
        <f t="shared" si="6"/>
        <v>1514.76</v>
      </c>
      <c r="N14" s="163">
        <f t="shared" si="6"/>
        <v>1377.06</v>
      </c>
      <c r="O14" s="163">
        <f t="shared" si="6"/>
        <v>1239.36</v>
      </c>
      <c r="P14" s="163">
        <f t="shared" si="6"/>
        <v>1101.66</v>
      </c>
      <c r="Q14" s="163">
        <f t="shared" si="6"/>
        <v>963.96</v>
      </c>
    </row>
    <row r="15" spans="1:17">
      <c r="A15" s="160">
        <v>4</v>
      </c>
      <c r="B15" s="166" t="s">
        <v>480</v>
      </c>
      <c r="C15" s="163"/>
      <c r="D15" s="165"/>
      <c r="E15" s="163"/>
      <c r="F15" s="163"/>
      <c r="G15" s="163"/>
      <c r="H15" s="163"/>
      <c r="I15" s="163"/>
      <c r="J15" s="163"/>
      <c r="K15" s="163"/>
      <c r="L15" s="163"/>
      <c r="M15" s="163"/>
      <c r="N15" s="163"/>
      <c r="O15" s="163"/>
      <c r="P15" s="163"/>
      <c r="Q15" s="163"/>
    </row>
    <row r="16" spans="1:17">
      <c r="A16" s="160">
        <v>4.1</v>
      </c>
      <c r="B16" s="161" t="s">
        <v>475</v>
      </c>
      <c r="C16" s="163"/>
      <c r="D16" s="165"/>
      <c r="E16" s="163">
        <f>E4+E8+E12</f>
        <v>19673.96</v>
      </c>
      <c r="F16" s="163"/>
      <c r="G16" s="163"/>
      <c r="H16" s="163"/>
      <c r="I16" s="163"/>
      <c r="J16" s="163"/>
      <c r="K16" s="163"/>
      <c r="L16" s="163"/>
      <c r="M16" s="163"/>
      <c r="N16" s="163"/>
      <c r="O16" s="163"/>
      <c r="P16" s="163"/>
      <c r="Q16" s="163"/>
    </row>
    <row r="17" spans="1:17">
      <c r="A17" s="160">
        <v>4.2</v>
      </c>
      <c r="B17" s="161" t="s">
        <v>476</v>
      </c>
      <c r="C17" s="163"/>
      <c r="D17" s="165"/>
      <c r="E17" s="163">
        <f>E5+E9+E13</f>
        <v>701.7</v>
      </c>
      <c r="F17" s="163">
        <f t="shared" ref="F17:Q18" si="7">F5+F9+F13</f>
        <v>701.7</v>
      </c>
      <c r="G17" s="163">
        <f t="shared" si="7"/>
        <v>701.7</v>
      </c>
      <c r="H17" s="163">
        <f t="shared" si="7"/>
        <v>701.7</v>
      </c>
      <c r="I17" s="163">
        <f t="shared" si="7"/>
        <v>701.7</v>
      </c>
      <c r="J17" s="163">
        <f t="shared" si="7"/>
        <v>701.7</v>
      </c>
      <c r="K17" s="163">
        <f t="shared" si="7"/>
        <v>701.7</v>
      </c>
      <c r="L17" s="163">
        <f t="shared" si="7"/>
        <v>701.7</v>
      </c>
      <c r="M17" s="163">
        <f t="shared" si="7"/>
        <v>701.7</v>
      </c>
      <c r="N17" s="163">
        <f t="shared" si="7"/>
        <v>701.7</v>
      </c>
      <c r="O17" s="163">
        <f t="shared" si="7"/>
        <v>701.7</v>
      </c>
      <c r="P17" s="163">
        <f t="shared" si="7"/>
        <v>701.7</v>
      </c>
      <c r="Q17" s="163">
        <f t="shared" si="7"/>
        <v>701.7</v>
      </c>
    </row>
    <row r="18" spans="1:17">
      <c r="A18" s="160">
        <v>4.3</v>
      </c>
      <c r="B18" s="161" t="s">
        <v>477</v>
      </c>
      <c r="C18" s="163"/>
      <c r="D18" s="165"/>
      <c r="E18" s="163">
        <f>E6+E10+E14</f>
        <v>18972.26</v>
      </c>
      <c r="F18" s="163">
        <f t="shared" si="7"/>
        <v>18270.56</v>
      </c>
      <c r="G18" s="163">
        <f t="shared" si="7"/>
        <v>17568.86</v>
      </c>
      <c r="H18" s="163">
        <f t="shared" si="7"/>
        <v>16867.16</v>
      </c>
      <c r="I18" s="163">
        <f t="shared" si="7"/>
        <v>16165.46</v>
      </c>
      <c r="J18" s="163">
        <f t="shared" si="7"/>
        <v>15463.76</v>
      </c>
      <c r="K18" s="163">
        <f t="shared" si="7"/>
        <v>14762.06</v>
      </c>
      <c r="L18" s="163">
        <f t="shared" si="7"/>
        <v>14060.36</v>
      </c>
      <c r="M18" s="163">
        <f t="shared" si="7"/>
        <v>13358.66</v>
      </c>
      <c r="N18" s="163">
        <f t="shared" si="7"/>
        <v>12656.96</v>
      </c>
      <c r="O18" s="163">
        <f t="shared" si="7"/>
        <v>11955.26</v>
      </c>
      <c r="P18" s="163">
        <f t="shared" si="7"/>
        <v>11253.56</v>
      </c>
      <c r="Q18" s="163">
        <f t="shared" si="7"/>
        <v>10551.86</v>
      </c>
    </row>
  </sheetData>
  <mergeCells count="4">
    <mergeCell ref="E1:Q1"/>
    <mergeCell ref="A1:A2"/>
    <mergeCell ref="B1:B2"/>
    <mergeCell ref="D1:D2"/>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399975585192419"/>
  </sheetPr>
  <dimension ref="A1:G46"/>
  <sheetViews>
    <sheetView zoomScale="85" zoomScaleNormal="85" workbookViewId="0">
      <pane ySplit="2" topLeftCell="A3" activePane="bottomLeft" state="frozen"/>
      <selection/>
      <selection pane="bottomLeft" activeCell="J4" sqref="J4"/>
    </sheetView>
  </sheetViews>
  <sheetFormatPr defaultColWidth="9" defaultRowHeight="14" outlineLevelCol="6"/>
  <cols>
    <col min="2" max="3" width="40.225" customWidth="1"/>
    <col min="4" max="4" width="30.6666666666667" customWidth="1"/>
    <col min="5" max="5" width="20.5583333333333" customWidth="1"/>
    <col min="6" max="6" width="16.225" customWidth="1"/>
  </cols>
  <sheetData>
    <row r="1" ht="20" spans="1:7">
      <c r="A1" s="145" t="s">
        <v>269</v>
      </c>
      <c r="B1" s="146"/>
      <c r="C1" s="146"/>
      <c r="D1" s="146"/>
      <c r="E1" s="146"/>
      <c r="F1" s="146"/>
      <c r="G1" s="147"/>
    </row>
    <row r="2" spans="1:7">
      <c r="A2" s="1" t="s">
        <v>0</v>
      </c>
      <c r="B2" s="1" t="s">
        <v>261</v>
      </c>
      <c r="C2" s="1" t="s">
        <v>481</v>
      </c>
      <c r="D2" s="1" t="s">
        <v>482</v>
      </c>
      <c r="E2" s="1" t="s">
        <v>483</v>
      </c>
      <c r="F2" s="1" t="s">
        <v>181</v>
      </c>
      <c r="G2" s="1" t="s">
        <v>4</v>
      </c>
    </row>
    <row r="3" spans="1:7">
      <c r="A3" s="1"/>
      <c r="B3" s="1"/>
      <c r="C3" s="1"/>
      <c r="D3" s="1"/>
      <c r="E3" s="1"/>
      <c r="F3" s="1" t="s">
        <v>184</v>
      </c>
      <c r="G3" s="1"/>
    </row>
    <row r="4" ht="84" spans="1:7">
      <c r="A4" s="1" t="s">
        <v>5</v>
      </c>
      <c r="B4" s="1" t="s">
        <v>227</v>
      </c>
      <c r="C4" s="2" t="s">
        <v>484</v>
      </c>
      <c r="D4" s="1" t="s">
        <v>485</v>
      </c>
      <c r="E4" s="148" t="s">
        <v>486</v>
      </c>
      <c r="F4" s="1" t="s">
        <v>487</v>
      </c>
      <c r="G4" s="1"/>
    </row>
    <row r="5" spans="1:7">
      <c r="A5" s="1" t="s">
        <v>17</v>
      </c>
      <c r="B5" s="1" t="s">
        <v>488</v>
      </c>
      <c r="C5" s="1"/>
      <c r="D5" s="1"/>
      <c r="E5" s="1"/>
      <c r="F5" s="1"/>
      <c r="G5" s="1"/>
    </row>
    <row r="6" spans="1:7">
      <c r="A6" s="1" t="s">
        <v>117</v>
      </c>
      <c r="B6" s="1" t="s">
        <v>489</v>
      </c>
      <c r="C6" s="1" t="s">
        <v>490</v>
      </c>
      <c r="D6" s="1"/>
      <c r="E6" s="1"/>
      <c r="F6" s="1"/>
      <c r="G6" s="1"/>
    </row>
    <row r="7" hidden="1" spans="1:7">
      <c r="A7" s="1">
        <v>1</v>
      </c>
      <c r="B7" s="1" t="s">
        <v>491</v>
      </c>
      <c r="C7" s="1"/>
      <c r="D7" s="1"/>
      <c r="E7" s="1"/>
      <c r="F7" s="1"/>
      <c r="G7" s="1"/>
    </row>
    <row r="8" hidden="1" spans="1:7">
      <c r="A8" s="149" t="s">
        <v>492</v>
      </c>
      <c r="B8" s="1" t="s">
        <v>493</v>
      </c>
      <c r="C8" s="1"/>
      <c r="D8" s="1"/>
      <c r="E8" s="1"/>
      <c r="F8" s="1"/>
      <c r="G8" s="1"/>
    </row>
    <row r="9" hidden="1" spans="1:7">
      <c r="A9" s="1">
        <v>1.2</v>
      </c>
      <c r="B9" s="1" t="s">
        <v>494</v>
      </c>
      <c r="C9" s="1"/>
      <c r="D9" s="1"/>
      <c r="E9" s="1"/>
      <c r="F9" s="1"/>
      <c r="G9" s="1"/>
    </row>
    <row r="10" hidden="1" spans="1:7">
      <c r="A10" s="1">
        <v>1.3</v>
      </c>
      <c r="B10" s="1" t="s">
        <v>495</v>
      </c>
      <c r="C10" s="1"/>
      <c r="D10" s="1"/>
      <c r="E10" s="1"/>
      <c r="F10" s="1"/>
      <c r="G10" s="1"/>
    </row>
    <row r="11" hidden="1" spans="1:7">
      <c r="A11" s="1">
        <v>1.4</v>
      </c>
      <c r="B11" s="1" t="s">
        <v>496</v>
      </c>
      <c r="C11" s="1"/>
      <c r="D11" s="1"/>
      <c r="E11" s="1"/>
      <c r="F11" s="1"/>
      <c r="G11" s="1"/>
    </row>
    <row r="12" hidden="1" spans="1:7">
      <c r="A12" s="1">
        <v>1.5</v>
      </c>
      <c r="B12" s="1" t="s">
        <v>497</v>
      </c>
      <c r="C12" s="1"/>
      <c r="D12" s="1"/>
      <c r="E12" s="1"/>
      <c r="F12" s="1"/>
      <c r="G12" s="1"/>
    </row>
    <row r="13" hidden="1" spans="1:7">
      <c r="A13" s="1">
        <v>1.6</v>
      </c>
      <c r="B13" s="1" t="s">
        <v>498</v>
      </c>
      <c r="C13" s="1"/>
      <c r="D13" s="1"/>
      <c r="E13" s="1"/>
      <c r="F13" s="1"/>
      <c r="G13" s="1"/>
    </row>
    <row r="14" hidden="1" spans="1:7">
      <c r="A14" s="1">
        <v>2</v>
      </c>
      <c r="B14" s="1" t="s">
        <v>499</v>
      </c>
      <c r="C14" s="1"/>
      <c r="D14" s="1"/>
      <c r="E14" s="1"/>
      <c r="F14" s="1"/>
      <c r="G14" s="1"/>
    </row>
    <row r="15" hidden="1" spans="1:7">
      <c r="A15" s="1">
        <v>2.1</v>
      </c>
      <c r="B15" s="1" t="s">
        <v>500</v>
      </c>
      <c r="C15" s="1"/>
      <c r="D15" s="1"/>
      <c r="E15" s="1"/>
      <c r="F15" s="1"/>
      <c r="G15" s="1"/>
    </row>
    <row r="16" hidden="1" spans="1:7">
      <c r="A16" s="1">
        <v>2.2</v>
      </c>
      <c r="B16" s="1" t="s">
        <v>501</v>
      </c>
      <c r="C16" s="1"/>
      <c r="D16" s="1"/>
      <c r="E16" s="1"/>
      <c r="F16" s="1"/>
      <c r="G16" s="1"/>
    </row>
    <row r="17" hidden="1" spans="1:7">
      <c r="A17" s="1">
        <v>3</v>
      </c>
      <c r="B17" s="1" t="s">
        <v>502</v>
      </c>
      <c r="C17" s="1"/>
      <c r="D17" s="1"/>
      <c r="E17" s="1"/>
      <c r="F17" s="1"/>
      <c r="G17" s="1"/>
    </row>
    <row r="18" ht="112" spans="1:7">
      <c r="A18" s="1" t="s">
        <v>151</v>
      </c>
      <c r="B18" s="1" t="s">
        <v>503</v>
      </c>
      <c r="C18" s="2" t="s">
        <v>504</v>
      </c>
      <c r="D18" s="1" t="s">
        <v>505</v>
      </c>
      <c r="E18" s="148" t="s">
        <v>506</v>
      </c>
      <c r="F18" s="2" t="s">
        <v>507</v>
      </c>
      <c r="G18" s="1"/>
    </row>
    <row r="19" ht="126" spans="1:7">
      <c r="A19" s="1" t="s">
        <v>161</v>
      </c>
      <c r="B19" s="1" t="s">
        <v>508</v>
      </c>
      <c r="C19" s="2" t="s">
        <v>509</v>
      </c>
      <c r="D19" s="1"/>
      <c r="E19" s="2" t="s">
        <v>510</v>
      </c>
      <c r="F19" s="1"/>
      <c r="G19" s="1"/>
    </row>
    <row r="20" spans="1:7">
      <c r="A20" s="1" t="s">
        <v>166</v>
      </c>
      <c r="B20" s="1" t="s">
        <v>511</v>
      </c>
      <c r="C20" s="1"/>
      <c r="D20" s="1"/>
      <c r="E20" s="1"/>
      <c r="F20" s="1"/>
      <c r="G20" s="1"/>
    </row>
    <row r="21" ht="42" spans="1:7">
      <c r="A21" s="1" t="s">
        <v>117</v>
      </c>
      <c r="B21" s="1" t="s">
        <v>512</v>
      </c>
      <c r="C21" s="2" t="s">
        <v>513</v>
      </c>
      <c r="D21" s="1"/>
      <c r="E21" s="150" t="s">
        <v>514</v>
      </c>
      <c r="F21" s="2" t="s">
        <v>507</v>
      </c>
      <c r="G21" s="1"/>
    </row>
    <row r="22" spans="1:7">
      <c r="A22" s="1" t="s">
        <v>151</v>
      </c>
      <c r="B22" s="1" t="s">
        <v>515</v>
      </c>
      <c r="C22" s="1"/>
      <c r="D22" s="1"/>
      <c r="E22" s="1"/>
      <c r="F22" s="1"/>
      <c r="G22" s="1"/>
    </row>
    <row r="23" ht="28" spans="1:7">
      <c r="A23" s="1">
        <v>1</v>
      </c>
      <c r="B23" s="1" t="s">
        <v>516</v>
      </c>
      <c r="C23" s="1"/>
      <c r="D23" s="1"/>
      <c r="E23" s="150" t="s">
        <v>517</v>
      </c>
      <c r="F23" s="2" t="s">
        <v>518</v>
      </c>
      <c r="G23" s="1"/>
    </row>
    <row r="24" ht="28" spans="1:7">
      <c r="A24" s="1">
        <v>2</v>
      </c>
      <c r="B24" s="1" t="s">
        <v>519</v>
      </c>
      <c r="C24" s="1"/>
      <c r="D24" s="1"/>
      <c r="E24" s="150" t="s">
        <v>520</v>
      </c>
      <c r="F24" s="2" t="s">
        <v>518</v>
      </c>
      <c r="G24" s="1"/>
    </row>
    <row r="25" spans="1:7">
      <c r="A25" s="1">
        <v>3</v>
      </c>
      <c r="B25" s="1" t="s">
        <v>521</v>
      </c>
      <c r="C25" s="1"/>
      <c r="D25" s="1"/>
      <c r="E25" s="1"/>
      <c r="F25" s="1"/>
      <c r="G25" s="1"/>
    </row>
    <row r="26" spans="1:7">
      <c r="A26" s="1">
        <v>4</v>
      </c>
      <c r="B26" s="1" t="s">
        <v>522</v>
      </c>
      <c r="C26" s="1"/>
      <c r="D26" s="1"/>
      <c r="E26" s="1"/>
      <c r="F26" s="1"/>
      <c r="G26" s="1"/>
    </row>
    <row r="27" ht="28" spans="1:7">
      <c r="A27" s="1">
        <v>5</v>
      </c>
      <c r="B27" s="1" t="s">
        <v>523</v>
      </c>
      <c r="C27" s="1"/>
      <c r="D27" s="1"/>
      <c r="E27" s="150" t="s">
        <v>524</v>
      </c>
      <c r="F27" s="2" t="s">
        <v>525</v>
      </c>
      <c r="G27" s="1"/>
    </row>
    <row r="28" spans="1:7">
      <c r="A28" s="1">
        <v>6</v>
      </c>
      <c r="B28" s="1" t="s">
        <v>526</v>
      </c>
      <c r="C28" s="1"/>
      <c r="D28" s="1"/>
      <c r="E28" s="1"/>
      <c r="F28" s="1"/>
      <c r="G28" s="1"/>
    </row>
    <row r="29" ht="28" spans="1:7">
      <c r="A29" s="1">
        <v>7</v>
      </c>
      <c r="B29" s="1" t="s">
        <v>527</v>
      </c>
      <c r="C29" s="1"/>
      <c r="D29" s="1"/>
      <c r="E29" s="150" t="s">
        <v>528</v>
      </c>
      <c r="F29" s="2" t="s">
        <v>525</v>
      </c>
      <c r="G29" s="1"/>
    </row>
    <row r="30" spans="1:7">
      <c r="A30" s="1">
        <v>8</v>
      </c>
      <c r="B30" s="1" t="s">
        <v>529</v>
      </c>
      <c r="C30" s="1"/>
      <c r="D30" s="1"/>
      <c r="E30" s="1"/>
      <c r="F30" s="1"/>
      <c r="G30" s="1"/>
    </row>
    <row r="31" spans="1:7">
      <c r="A31" s="1">
        <v>9</v>
      </c>
      <c r="B31" s="1" t="s">
        <v>530</v>
      </c>
      <c r="C31" s="1"/>
      <c r="D31" s="1"/>
      <c r="E31" s="148" t="s">
        <v>531</v>
      </c>
      <c r="F31" s="1"/>
      <c r="G31" s="1"/>
    </row>
    <row r="32" ht="84" spans="1:7">
      <c r="A32" s="1">
        <v>10</v>
      </c>
      <c r="B32" s="117" t="s">
        <v>532</v>
      </c>
      <c r="C32" s="151" t="s">
        <v>533</v>
      </c>
      <c r="D32" s="1" t="s">
        <v>534</v>
      </c>
      <c r="E32" s="148" t="s">
        <v>506</v>
      </c>
      <c r="F32" s="2" t="s">
        <v>518</v>
      </c>
      <c r="G32" s="1"/>
    </row>
    <row r="33" ht="111.6" customHeight="1" spans="1:7">
      <c r="A33" s="1">
        <v>11</v>
      </c>
      <c r="B33" s="117" t="s">
        <v>218</v>
      </c>
      <c r="C33" s="151"/>
      <c r="D33" s="1"/>
      <c r="E33" s="150" t="s">
        <v>535</v>
      </c>
      <c r="F33" s="2"/>
      <c r="G33" s="1"/>
    </row>
    <row r="34" spans="1:7">
      <c r="A34" s="1">
        <v>12</v>
      </c>
      <c r="B34" s="1" t="s">
        <v>536</v>
      </c>
      <c r="C34" s="1"/>
      <c r="D34" s="1"/>
      <c r="E34" s="1"/>
      <c r="F34" s="1"/>
      <c r="G34" s="1"/>
    </row>
    <row r="35" spans="1:7">
      <c r="A35" s="1" t="s">
        <v>537</v>
      </c>
      <c r="B35" s="1" t="s">
        <v>538</v>
      </c>
      <c r="C35" s="1"/>
      <c r="D35" s="1"/>
      <c r="E35" s="1"/>
      <c r="F35" s="1"/>
      <c r="G35" s="1"/>
    </row>
    <row r="36" spans="1:7">
      <c r="A36" s="1">
        <v>1</v>
      </c>
      <c r="B36" s="1" t="s">
        <v>539</v>
      </c>
      <c r="C36" s="1"/>
      <c r="D36" s="1" t="s">
        <v>540</v>
      </c>
      <c r="E36" s="148" t="s">
        <v>506</v>
      </c>
      <c r="F36" s="1"/>
      <c r="G36" s="1"/>
    </row>
    <row r="37" ht="98" spans="1:7">
      <c r="A37" s="1">
        <v>2</v>
      </c>
      <c r="B37" s="1" t="s">
        <v>233</v>
      </c>
      <c r="C37" s="1"/>
      <c r="D37" s="1"/>
      <c r="E37" s="148" t="s">
        <v>541</v>
      </c>
      <c r="F37" s="2" t="s">
        <v>542</v>
      </c>
      <c r="G37" s="1"/>
    </row>
    <row r="38" ht="42" spans="1:7">
      <c r="A38" s="1" t="s">
        <v>543</v>
      </c>
      <c r="B38" s="1" t="s">
        <v>544</v>
      </c>
      <c r="C38" s="2" t="s">
        <v>545</v>
      </c>
      <c r="D38" s="1"/>
      <c r="E38" s="148" t="s">
        <v>546</v>
      </c>
      <c r="F38" s="152" t="s">
        <v>547</v>
      </c>
      <c r="G38" s="1"/>
    </row>
    <row r="39" spans="1:7">
      <c r="A39" s="1" t="s">
        <v>548</v>
      </c>
      <c r="B39" s="1" t="s">
        <v>549</v>
      </c>
      <c r="C39" s="1"/>
      <c r="D39" s="1"/>
      <c r="E39" s="1"/>
      <c r="F39" s="1"/>
      <c r="G39" s="1"/>
    </row>
    <row r="40" spans="1:7">
      <c r="A40" s="1" t="s">
        <v>550</v>
      </c>
      <c r="B40" s="1" t="s">
        <v>551</v>
      </c>
      <c r="C40" s="1"/>
      <c r="D40" s="1"/>
      <c r="E40" s="1"/>
      <c r="F40" s="1"/>
      <c r="G40" s="1"/>
    </row>
    <row r="41" spans="1:7">
      <c r="A41" s="1" t="s">
        <v>552</v>
      </c>
      <c r="B41" s="1" t="s">
        <v>553</v>
      </c>
      <c r="C41" s="1"/>
      <c r="D41" s="1"/>
      <c r="E41" s="1"/>
      <c r="F41" s="1"/>
      <c r="G41" s="1"/>
    </row>
    <row r="42" ht="70" spans="1:7">
      <c r="A42" s="1" t="s">
        <v>554</v>
      </c>
      <c r="B42" s="1" t="s">
        <v>555</v>
      </c>
      <c r="C42" s="2" t="s">
        <v>556</v>
      </c>
      <c r="D42" s="1"/>
      <c r="E42" s="148" t="s">
        <v>557</v>
      </c>
      <c r="F42" s="1" t="s">
        <v>558</v>
      </c>
      <c r="G42" s="1"/>
    </row>
    <row r="43" ht="42" spans="1:7">
      <c r="A43" s="1" t="s">
        <v>559</v>
      </c>
      <c r="B43" s="1" t="s">
        <v>238</v>
      </c>
      <c r="C43" s="2" t="s">
        <v>560</v>
      </c>
      <c r="D43" s="1"/>
      <c r="E43" s="148" t="s">
        <v>561</v>
      </c>
      <c r="F43" s="1" t="s">
        <v>562</v>
      </c>
      <c r="G43" s="1"/>
    </row>
    <row r="44" spans="1:7">
      <c r="A44" s="1" t="s">
        <v>563</v>
      </c>
      <c r="B44" s="1" t="s">
        <v>564</v>
      </c>
      <c r="C44" s="1"/>
      <c r="D44" s="1"/>
      <c r="E44" s="148"/>
      <c r="F44" s="1"/>
      <c r="G44" s="1"/>
    </row>
    <row r="45" ht="56" spans="1:7">
      <c r="A45" s="1" t="s">
        <v>565</v>
      </c>
      <c r="B45" s="1" t="s">
        <v>566</v>
      </c>
      <c r="C45" s="2" t="s">
        <v>567</v>
      </c>
      <c r="D45" s="1"/>
      <c r="E45" s="148" t="s">
        <v>568</v>
      </c>
      <c r="F45" s="2" t="s">
        <v>518</v>
      </c>
      <c r="G45" s="1"/>
    </row>
    <row r="46" ht="56" spans="1:7">
      <c r="A46" s="1" t="s">
        <v>569</v>
      </c>
      <c r="B46" s="1" t="s">
        <v>570</v>
      </c>
      <c r="C46" s="2" t="s">
        <v>571</v>
      </c>
      <c r="D46" s="1" t="s">
        <v>572</v>
      </c>
      <c r="E46" s="148" t="s">
        <v>506</v>
      </c>
      <c r="F46" s="2" t="s">
        <v>518</v>
      </c>
      <c r="G46" s="1"/>
    </row>
  </sheetData>
  <sheetProtection algorithmName="SHA-512" hashValue="AhwC/KBZUrz/MmDbae+MSzoyrvsL3Vv2XfIV4bbWUwD82WQSCY2J2W0z3kazo7oxqfSJq1crPSTGXXe/mQOoQw==" saltValue="5qLWIGZkj82nimJqs6Bhzg==" spinCount="100000" sheet="1" selectLockedCells="1" objects="1" scenarios="1"/>
  <mergeCells count="2">
    <mergeCell ref="A1:G1"/>
    <mergeCell ref="C6:C17"/>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A6" sqref="$A1:$XFD6"/>
    </sheetView>
  </sheetViews>
  <sheetFormatPr defaultColWidth="9" defaultRowHeight="14" outlineLevelRow="5" outlineLevelCol="7"/>
  <cols>
    <col min="7" max="7" width="11.6666666666667" customWidth="1"/>
  </cols>
  <sheetData>
    <row r="1" ht="28" spans="1:8">
      <c r="A1" s="7" t="s">
        <v>0</v>
      </c>
      <c r="B1" s="1" t="s">
        <v>242</v>
      </c>
      <c r="C1" s="1"/>
      <c r="D1" s="1"/>
      <c r="E1" s="7" t="s">
        <v>192</v>
      </c>
      <c r="F1" s="7" t="s">
        <v>231</v>
      </c>
      <c r="G1" s="7" t="s">
        <v>22</v>
      </c>
      <c r="H1" s="142" t="s">
        <v>194</v>
      </c>
    </row>
    <row r="2" spans="1:8">
      <c r="A2" s="7"/>
      <c r="B2" s="1"/>
      <c r="C2" s="1"/>
      <c r="D2" s="1"/>
      <c r="E2" s="7"/>
      <c r="F2" s="7"/>
      <c r="G2" s="7">
        <f>其他费自动计算!C2</f>
        <v>17385.78</v>
      </c>
      <c r="H2" s="7"/>
    </row>
    <row r="3" spans="1:8">
      <c r="A3" s="1">
        <v>1</v>
      </c>
      <c r="B3" s="7"/>
      <c r="C3" s="1" t="s">
        <v>203</v>
      </c>
      <c r="D3" s="7">
        <v>10000</v>
      </c>
      <c r="E3" s="7">
        <v>6</v>
      </c>
      <c r="F3" s="7"/>
      <c r="G3" s="8">
        <f>IF(G2&lt;D3,1,0)</f>
        <v>0</v>
      </c>
      <c r="H3" s="7">
        <f>IF(AND(G3=1,G2&gt;0),E3,0)</f>
        <v>0</v>
      </c>
    </row>
    <row r="4" spans="1:8">
      <c r="A4" s="1">
        <v>2</v>
      </c>
      <c r="B4" s="7">
        <v>10000</v>
      </c>
      <c r="C4" s="1" t="s">
        <v>196</v>
      </c>
      <c r="D4" s="7">
        <v>50000</v>
      </c>
      <c r="E4" s="7">
        <v>13</v>
      </c>
      <c r="F4" s="143">
        <v>0.000175</v>
      </c>
      <c r="G4" s="8">
        <f>IF(AND(G$2&lt;=D4,G$2&gt;B4),1,0)</f>
        <v>1</v>
      </c>
      <c r="H4" s="7">
        <f>IF(G4=1,(E3+($G$2-B4)*F4),0)</f>
        <v>7.2925115</v>
      </c>
    </row>
    <row r="5" spans="1:8">
      <c r="A5" s="1">
        <v>3</v>
      </c>
      <c r="B5" s="7">
        <v>50000</v>
      </c>
      <c r="C5" s="1" t="s">
        <v>196</v>
      </c>
      <c r="D5" s="7">
        <v>100000</v>
      </c>
      <c r="E5" s="7">
        <v>20</v>
      </c>
      <c r="F5" s="144">
        <v>0.00014</v>
      </c>
      <c r="G5" s="8">
        <f>IF(AND(G$2&lt;=D5,G$2&gt;B5),1,0)</f>
        <v>0</v>
      </c>
      <c r="H5" s="7">
        <f>IF(G5=1,(E4+($G$2-B5)*F5),0)</f>
        <v>0</v>
      </c>
    </row>
    <row r="6" spans="1:8">
      <c r="A6" s="1">
        <v>4</v>
      </c>
      <c r="B6" s="7">
        <v>100000</v>
      </c>
      <c r="C6" s="1" t="s">
        <v>203</v>
      </c>
      <c r="D6" s="7"/>
      <c r="E6" s="7"/>
      <c r="F6" s="7"/>
      <c r="G6" s="8">
        <f>IF(G2&gt;B6,1,0)</f>
        <v>0</v>
      </c>
      <c r="H6" s="7">
        <f>IF(G6=1,E5,0)</f>
        <v>0</v>
      </c>
    </row>
  </sheetData>
  <mergeCells count="1">
    <mergeCell ref="B1:D1"/>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selection activeCell="F8" sqref="F8"/>
    </sheetView>
  </sheetViews>
  <sheetFormatPr defaultColWidth="9" defaultRowHeight="14" outlineLevelRow="7"/>
  <sheetData>
    <row r="1" ht="28" spans="1:9">
      <c r="A1" s="1" t="s">
        <v>0</v>
      </c>
      <c r="B1" s="1" t="s">
        <v>210</v>
      </c>
      <c r="C1" s="1"/>
      <c r="D1" s="1"/>
      <c r="E1" s="1" t="s">
        <v>211</v>
      </c>
      <c r="F1" s="1" t="s">
        <v>573</v>
      </c>
      <c r="G1" s="2" t="s">
        <v>212</v>
      </c>
      <c r="H1" s="2" t="s">
        <v>213</v>
      </c>
      <c r="I1" s="1" t="s">
        <v>189</v>
      </c>
    </row>
    <row r="2" spans="1:9">
      <c r="A2" s="1"/>
      <c r="B2" s="1"/>
      <c r="C2" s="1"/>
      <c r="D2" s="1"/>
      <c r="E2" s="1"/>
      <c r="F2" s="141"/>
      <c r="G2" s="1">
        <f>SUM(G3:G8)</f>
        <v>0</v>
      </c>
      <c r="H2" s="1">
        <v>1.2</v>
      </c>
      <c r="I2" s="1">
        <f>SUM(I3:I8)</f>
        <v>0</v>
      </c>
    </row>
    <row r="3" spans="1:9">
      <c r="A3" s="1">
        <v>1</v>
      </c>
      <c r="B3" s="1"/>
      <c r="C3" s="1" t="s">
        <v>203</v>
      </c>
      <c r="D3" s="1">
        <v>3000</v>
      </c>
      <c r="E3" s="1">
        <v>3</v>
      </c>
      <c r="F3" s="8">
        <f>IF(AND(F2&lt;=D3,F2&gt;0),1,0)</f>
        <v>0</v>
      </c>
      <c r="G3" s="1">
        <f>IF(F3=1,E3/D3*F2,0)</f>
        <v>0</v>
      </c>
      <c r="H3" s="1">
        <v>1.2</v>
      </c>
      <c r="I3" s="1">
        <f>IF(F3=1,MAX(G3*H3,E3),0)</f>
        <v>0</v>
      </c>
    </row>
    <row r="4" spans="1:9">
      <c r="A4" s="1">
        <v>2</v>
      </c>
      <c r="B4" s="1">
        <v>3000</v>
      </c>
      <c r="C4" s="1" t="s">
        <v>196</v>
      </c>
      <c r="D4" s="1">
        <v>10000</v>
      </c>
      <c r="E4" s="1">
        <v>6</v>
      </c>
      <c r="F4" s="8">
        <f>IF(AND($F$2&gt;B4,$F$2&lt;=D4),1,0)</f>
        <v>0</v>
      </c>
      <c r="G4" s="1">
        <f>IF(F4=1,(E3+(E4-E3)/(D4-B4)*($F$2-B4)),0)</f>
        <v>0</v>
      </c>
      <c r="H4" s="1">
        <v>1.2</v>
      </c>
      <c r="I4" s="1">
        <f t="shared" ref="I4:I7" si="0">G4*H4</f>
        <v>0</v>
      </c>
    </row>
    <row r="5" spans="1:9">
      <c r="A5" s="1">
        <v>3</v>
      </c>
      <c r="B5" s="1">
        <v>10000</v>
      </c>
      <c r="C5" s="1" t="s">
        <v>196</v>
      </c>
      <c r="D5" s="1">
        <v>50000</v>
      </c>
      <c r="E5" s="1">
        <v>9</v>
      </c>
      <c r="F5" s="8">
        <f t="shared" ref="F5:F7" si="1">IF(AND($F$2&gt;B5,$F$2&lt;=D5),1,0)</f>
        <v>0</v>
      </c>
      <c r="G5" s="1">
        <f t="shared" ref="G5:G7" si="2">IF(F5=1,(E4+(E5-E4)/(D5-B5)*($F$2-B5)),0)</f>
        <v>0</v>
      </c>
      <c r="H5" s="1">
        <v>1.2</v>
      </c>
      <c r="I5" s="1">
        <f t="shared" si="0"/>
        <v>0</v>
      </c>
    </row>
    <row r="6" spans="1:9">
      <c r="A6" s="1">
        <v>4</v>
      </c>
      <c r="B6" s="1">
        <v>50000</v>
      </c>
      <c r="C6" s="1" t="s">
        <v>196</v>
      </c>
      <c r="D6" s="1">
        <v>100000</v>
      </c>
      <c r="E6" s="1">
        <v>12</v>
      </c>
      <c r="F6" s="8">
        <f t="shared" si="1"/>
        <v>0</v>
      </c>
      <c r="G6" s="1">
        <f t="shared" si="2"/>
        <v>0</v>
      </c>
      <c r="H6" s="1">
        <v>1.2</v>
      </c>
      <c r="I6" s="1">
        <f t="shared" si="0"/>
        <v>0</v>
      </c>
    </row>
    <row r="7" spans="1:9">
      <c r="A7" s="1">
        <v>5</v>
      </c>
      <c r="B7" s="1">
        <v>100000</v>
      </c>
      <c r="C7" s="1" t="s">
        <v>196</v>
      </c>
      <c r="D7" s="1">
        <v>500000</v>
      </c>
      <c r="E7" s="1">
        <v>15</v>
      </c>
      <c r="F7" s="8">
        <f t="shared" si="1"/>
        <v>0</v>
      </c>
      <c r="G7" s="1">
        <f t="shared" si="2"/>
        <v>0</v>
      </c>
      <c r="H7" s="1">
        <v>1.2</v>
      </c>
      <c r="I7" s="1">
        <f t="shared" si="0"/>
        <v>0</v>
      </c>
    </row>
    <row r="8" spans="1:9">
      <c r="A8" s="1">
        <v>6</v>
      </c>
      <c r="B8" s="1">
        <v>500000</v>
      </c>
      <c r="C8" s="1" t="s">
        <v>203</v>
      </c>
      <c r="D8" s="1"/>
      <c r="E8" s="1">
        <v>20</v>
      </c>
      <c r="F8" s="8">
        <f>IF(F2&gt;B8,1,0)</f>
        <v>0</v>
      </c>
      <c r="G8" s="1">
        <f>IF(F8=1,E8/B8*F2,0)</f>
        <v>0</v>
      </c>
      <c r="H8" s="1">
        <v>1.2</v>
      </c>
      <c r="I8" s="1">
        <f>IF(F8=1,MIN(G8*H8,E8),0)</f>
        <v>0</v>
      </c>
    </row>
  </sheetData>
  <mergeCells count="3">
    <mergeCell ref="A1:A2"/>
    <mergeCell ref="E1:E2"/>
    <mergeCell ref="B1:D2"/>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workbookViewId="0">
      <selection activeCell="A24" sqref="$A1:$XFD24"/>
    </sheetView>
  </sheetViews>
  <sheetFormatPr defaultColWidth="9" defaultRowHeight="14" outlineLevelCol="6"/>
  <cols>
    <col min="1" max="1" width="5.55833333333333" customWidth="1"/>
    <col min="6" max="6" width="11.6666666666667" customWidth="1"/>
  </cols>
  <sheetData>
    <row r="1" ht="28" spans="1:7">
      <c r="A1" s="125" t="s">
        <v>0</v>
      </c>
      <c r="B1" s="12" t="s">
        <v>239</v>
      </c>
      <c r="C1" s="13"/>
      <c r="D1" s="14"/>
      <c r="E1" s="125" t="s">
        <v>192</v>
      </c>
      <c r="F1" s="1" t="s">
        <v>22</v>
      </c>
      <c r="G1" s="2" t="s">
        <v>194</v>
      </c>
    </row>
    <row r="2" spans="1:7">
      <c r="A2" s="127"/>
      <c r="B2" s="92"/>
      <c r="C2" s="93"/>
      <c r="D2" s="94"/>
      <c r="E2" s="127"/>
      <c r="F2" s="1">
        <f>其他费自动计算!C2</f>
        <v>17385.78</v>
      </c>
      <c r="G2" s="1">
        <f>SUM(G3:G24)</f>
        <v>66.77156</v>
      </c>
    </row>
    <row r="3" spans="1:7">
      <c r="A3" s="1">
        <v>1</v>
      </c>
      <c r="B3" s="1"/>
      <c r="C3" s="1" t="s">
        <v>203</v>
      </c>
      <c r="D3" s="1">
        <v>5000</v>
      </c>
      <c r="E3" s="1">
        <v>30</v>
      </c>
      <c r="F3" s="8">
        <f>IF(F2&lt;=D3,1,0)</f>
        <v>0</v>
      </c>
      <c r="G3" s="1">
        <f>IF(F3=1,E3/D3*F2,0)</f>
        <v>0</v>
      </c>
    </row>
    <row r="4" spans="1:7">
      <c r="A4" s="1">
        <v>2</v>
      </c>
      <c r="B4" s="1">
        <v>5000</v>
      </c>
      <c r="C4" s="1" t="s">
        <v>196</v>
      </c>
      <c r="D4" s="1">
        <v>10000</v>
      </c>
      <c r="E4" s="1">
        <v>52</v>
      </c>
      <c r="F4" s="8">
        <f>IF(AND($F$2&lt;=D4,$F$2&gt;B4),1,)</f>
        <v>0</v>
      </c>
      <c r="G4" s="1">
        <f>IF(F4=1,(E3+(E4-E3)/(D4-B4)*($F$2-B4)),0)</f>
        <v>0</v>
      </c>
    </row>
    <row r="5" spans="1:7">
      <c r="A5" s="1">
        <v>3</v>
      </c>
      <c r="B5" s="1">
        <v>10000</v>
      </c>
      <c r="C5" s="1" t="s">
        <v>196</v>
      </c>
      <c r="D5" s="1">
        <v>20000</v>
      </c>
      <c r="E5" s="1">
        <v>72</v>
      </c>
      <c r="F5" s="8">
        <f t="shared" ref="F5:F23" si="0">IF(AND($F$2&lt;=D5,$F$2&gt;B5),1,)</f>
        <v>1</v>
      </c>
      <c r="G5" s="1">
        <f>IF(F5=1,(E4+(E5-E4)/(D5-B5)*($F$2-B5)),0)</f>
        <v>66.77156</v>
      </c>
    </row>
    <row r="6" spans="1:7">
      <c r="A6" s="1">
        <v>4</v>
      </c>
      <c r="B6" s="1">
        <v>20000</v>
      </c>
      <c r="C6" s="1" t="s">
        <v>196</v>
      </c>
      <c r="D6" s="1">
        <v>30000</v>
      </c>
      <c r="E6" s="1">
        <v>82</v>
      </c>
      <c r="F6" s="8">
        <f t="shared" si="0"/>
        <v>0</v>
      </c>
      <c r="G6" s="1">
        <f t="shared" ref="G6:G23" si="1">IF(F6=1,(E5+(E6-E5)/(D6-B6)*($F$2-B6)),0)</f>
        <v>0</v>
      </c>
    </row>
    <row r="7" spans="1:7">
      <c r="A7" s="1">
        <v>5</v>
      </c>
      <c r="B7" s="1">
        <v>30000</v>
      </c>
      <c r="C7" s="1" t="s">
        <v>196</v>
      </c>
      <c r="D7" s="1">
        <v>40000</v>
      </c>
      <c r="E7" s="1">
        <v>95</v>
      </c>
      <c r="F7" s="8">
        <f t="shared" si="0"/>
        <v>0</v>
      </c>
      <c r="G7" s="1">
        <f t="shared" si="1"/>
        <v>0</v>
      </c>
    </row>
    <row r="8" spans="1:7">
      <c r="A8" s="1">
        <v>6</v>
      </c>
      <c r="B8" s="1">
        <v>40000</v>
      </c>
      <c r="C8" s="1" t="s">
        <v>196</v>
      </c>
      <c r="D8" s="1">
        <v>50000</v>
      </c>
      <c r="E8" s="1">
        <v>104</v>
      </c>
      <c r="F8" s="8">
        <f t="shared" si="0"/>
        <v>0</v>
      </c>
      <c r="G8" s="1">
        <f t="shared" si="1"/>
        <v>0</v>
      </c>
    </row>
    <row r="9" spans="1:7">
      <c r="A9" s="1">
        <v>7</v>
      </c>
      <c r="B9" s="1">
        <v>50000</v>
      </c>
      <c r="C9" s="1" t="s">
        <v>196</v>
      </c>
      <c r="D9" s="1">
        <v>60000</v>
      </c>
      <c r="E9" s="1">
        <v>116</v>
      </c>
      <c r="F9" s="8">
        <f t="shared" si="0"/>
        <v>0</v>
      </c>
      <c r="G9" s="1">
        <f t="shared" si="1"/>
        <v>0</v>
      </c>
    </row>
    <row r="10" spans="1:7">
      <c r="A10" s="1">
        <v>8</v>
      </c>
      <c r="B10" s="1">
        <v>60000</v>
      </c>
      <c r="C10" s="1" t="s">
        <v>196</v>
      </c>
      <c r="D10" s="1">
        <v>70000</v>
      </c>
      <c r="E10" s="1">
        <v>119</v>
      </c>
      <c r="F10" s="8">
        <f t="shared" si="0"/>
        <v>0</v>
      </c>
      <c r="G10" s="1">
        <f t="shared" si="1"/>
        <v>0</v>
      </c>
    </row>
    <row r="11" spans="1:7">
      <c r="A11" s="1">
        <v>9</v>
      </c>
      <c r="B11" s="1">
        <v>70000</v>
      </c>
      <c r="C11" s="1" t="s">
        <v>196</v>
      </c>
      <c r="D11" s="1">
        <v>80000</v>
      </c>
      <c r="E11" s="1">
        <v>132</v>
      </c>
      <c r="F11" s="8">
        <f t="shared" si="0"/>
        <v>0</v>
      </c>
      <c r="G11" s="1">
        <f t="shared" si="1"/>
        <v>0</v>
      </c>
    </row>
    <row r="12" spans="1:7">
      <c r="A12" s="1">
        <v>10</v>
      </c>
      <c r="B12" s="1">
        <v>80000</v>
      </c>
      <c r="C12" s="1" t="s">
        <v>196</v>
      </c>
      <c r="D12" s="1">
        <v>90000</v>
      </c>
      <c r="E12" s="1">
        <v>156</v>
      </c>
      <c r="F12" s="8">
        <f t="shared" si="0"/>
        <v>0</v>
      </c>
      <c r="G12" s="1">
        <f t="shared" si="1"/>
        <v>0</v>
      </c>
    </row>
    <row r="13" spans="1:7">
      <c r="A13" s="1">
        <v>11</v>
      </c>
      <c r="B13" s="1">
        <v>90000</v>
      </c>
      <c r="C13" s="1" t="s">
        <v>196</v>
      </c>
      <c r="D13" s="1">
        <v>100000</v>
      </c>
      <c r="E13" s="1">
        <v>171</v>
      </c>
      <c r="F13" s="8">
        <f t="shared" si="0"/>
        <v>0</v>
      </c>
      <c r="G13" s="1">
        <f t="shared" si="1"/>
        <v>0</v>
      </c>
    </row>
    <row r="14" spans="1:7">
      <c r="A14" s="1">
        <v>12</v>
      </c>
      <c r="B14" s="1">
        <v>100000</v>
      </c>
      <c r="C14" s="1" t="s">
        <v>196</v>
      </c>
      <c r="D14" s="1">
        <v>110000</v>
      </c>
      <c r="E14" s="1">
        <v>185</v>
      </c>
      <c r="F14" s="8">
        <f t="shared" si="0"/>
        <v>0</v>
      </c>
      <c r="G14" s="1">
        <f t="shared" si="1"/>
        <v>0</v>
      </c>
    </row>
    <row r="15" spans="1:7">
      <c r="A15" s="1">
        <v>13</v>
      </c>
      <c r="B15" s="1">
        <v>110000</v>
      </c>
      <c r="C15" s="1" t="s">
        <v>196</v>
      </c>
      <c r="D15" s="1">
        <v>120000</v>
      </c>
      <c r="E15" s="1">
        <v>200</v>
      </c>
      <c r="F15" s="8">
        <f t="shared" si="0"/>
        <v>0</v>
      </c>
      <c r="G15" s="1">
        <f t="shared" si="1"/>
        <v>0</v>
      </c>
    </row>
    <row r="16" spans="1:7">
      <c r="A16" s="1">
        <v>14</v>
      </c>
      <c r="B16" s="1">
        <v>120000</v>
      </c>
      <c r="C16" s="1" t="s">
        <v>196</v>
      </c>
      <c r="D16" s="1">
        <v>130000</v>
      </c>
      <c r="E16" s="1">
        <v>220</v>
      </c>
      <c r="F16" s="8">
        <f t="shared" si="0"/>
        <v>0</v>
      </c>
      <c r="G16" s="1">
        <f t="shared" si="1"/>
        <v>0</v>
      </c>
    </row>
    <row r="17" spans="1:7">
      <c r="A17" s="1">
        <v>15</v>
      </c>
      <c r="B17" s="1">
        <v>130000</v>
      </c>
      <c r="C17" s="1" t="s">
        <v>196</v>
      </c>
      <c r="D17" s="1">
        <v>140000</v>
      </c>
      <c r="E17" s="1">
        <v>230</v>
      </c>
      <c r="F17" s="8">
        <f t="shared" si="0"/>
        <v>0</v>
      </c>
      <c r="G17" s="1">
        <f t="shared" si="1"/>
        <v>0</v>
      </c>
    </row>
    <row r="18" spans="1:7">
      <c r="A18" s="1">
        <v>16</v>
      </c>
      <c r="B18" s="1">
        <v>140000</v>
      </c>
      <c r="C18" s="1" t="s">
        <v>196</v>
      </c>
      <c r="D18" s="1">
        <v>150000</v>
      </c>
      <c r="E18" s="1">
        <v>245</v>
      </c>
      <c r="F18" s="8">
        <f t="shared" si="0"/>
        <v>0</v>
      </c>
      <c r="G18" s="1">
        <f t="shared" si="1"/>
        <v>0</v>
      </c>
    </row>
    <row r="19" spans="1:7">
      <c r="A19" s="1">
        <v>17</v>
      </c>
      <c r="B19" s="1">
        <v>150000</v>
      </c>
      <c r="C19" s="1" t="s">
        <v>196</v>
      </c>
      <c r="D19" s="1">
        <v>160000</v>
      </c>
      <c r="E19" s="1">
        <v>259</v>
      </c>
      <c r="F19" s="8">
        <f t="shared" si="0"/>
        <v>0</v>
      </c>
      <c r="G19" s="1">
        <f t="shared" si="1"/>
        <v>0</v>
      </c>
    </row>
    <row r="20" spans="1:7">
      <c r="A20" s="1">
        <v>18</v>
      </c>
      <c r="B20" s="1">
        <v>160000</v>
      </c>
      <c r="C20" s="1" t="s">
        <v>196</v>
      </c>
      <c r="D20" s="1">
        <v>170000</v>
      </c>
      <c r="E20" s="1">
        <v>270</v>
      </c>
      <c r="F20" s="8">
        <f t="shared" si="0"/>
        <v>0</v>
      </c>
      <c r="G20" s="1">
        <f t="shared" si="1"/>
        <v>0</v>
      </c>
    </row>
    <row r="21" spans="1:7">
      <c r="A21" s="1">
        <v>19</v>
      </c>
      <c r="B21" s="1">
        <v>170000</v>
      </c>
      <c r="C21" s="1" t="s">
        <v>196</v>
      </c>
      <c r="D21" s="1">
        <v>180000</v>
      </c>
      <c r="E21" s="1">
        <v>290</v>
      </c>
      <c r="F21" s="8">
        <f t="shared" si="0"/>
        <v>0</v>
      </c>
      <c r="G21" s="1">
        <f t="shared" si="1"/>
        <v>0</v>
      </c>
    </row>
    <row r="22" spans="1:7">
      <c r="A22" s="1">
        <v>20</v>
      </c>
      <c r="B22" s="1">
        <v>180000</v>
      </c>
      <c r="C22" s="1" t="s">
        <v>196</v>
      </c>
      <c r="D22" s="1">
        <v>190000</v>
      </c>
      <c r="E22" s="1">
        <v>320</v>
      </c>
      <c r="F22" s="8">
        <f t="shared" si="0"/>
        <v>0</v>
      </c>
      <c r="G22" s="1">
        <f t="shared" si="1"/>
        <v>0</v>
      </c>
    </row>
    <row r="23" spans="1:7">
      <c r="A23" s="1">
        <v>21</v>
      </c>
      <c r="B23" s="1">
        <v>190000</v>
      </c>
      <c r="C23" s="1" t="s">
        <v>196</v>
      </c>
      <c r="D23" s="1">
        <v>200000</v>
      </c>
      <c r="E23" s="1">
        <v>350</v>
      </c>
      <c r="F23" s="8">
        <f t="shared" si="0"/>
        <v>0</v>
      </c>
      <c r="G23" s="1">
        <f t="shared" si="1"/>
        <v>0</v>
      </c>
    </row>
    <row r="24" spans="1:7">
      <c r="A24" s="1">
        <v>22</v>
      </c>
      <c r="B24" s="1">
        <v>200000</v>
      </c>
      <c r="C24" s="1" t="s">
        <v>203</v>
      </c>
      <c r="D24" s="1"/>
      <c r="E24" s="3"/>
      <c r="F24" s="8">
        <f>IF(F2&gt;B24,1,0)</f>
        <v>0</v>
      </c>
      <c r="G24" s="1">
        <f>IF(F24=1,E23/B24*F2,0)</f>
        <v>0</v>
      </c>
    </row>
  </sheetData>
  <mergeCells count="3">
    <mergeCell ref="A1:A2"/>
    <mergeCell ref="E1:E2"/>
    <mergeCell ref="B1:D2"/>
  </mergeCell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J7"/>
  <sheetViews>
    <sheetView workbookViewId="0">
      <selection activeCell="L19" sqref="L19"/>
    </sheetView>
  </sheetViews>
  <sheetFormatPr defaultColWidth="9" defaultRowHeight="14" outlineLevelRow="6"/>
  <cols>
    <col min="1" max="1" width="5.55833333333333" customWidth="1"/>
    <col min="2" max="2" width="7.225" customWidth="1"/>
    <col min="4" max="4" width="8.66666666666667" customWidth="1"/>
    <col min="5" max="5" width="14.3333333333333" customWidth="1"/>
  </cols>
  <sheetData>
    <row r="1" ht="27.6" customHeight="1" spans="1:10">
      <c r="A1" s="125" t="s">
        <v>0</v>
      </c>
      <c r="B1" s="132" t="s">
        <v>219</v>
      </c>
      <c r="C1" s="133"/>
      <c r="D1" s="134"/>
      <c r="E1" s="47" t="s">
        <v>220</v>
      </c>
      <c r="F1" s="47" t="s">
        <v>221</v>
      </c>
      <c r="G1" s="2" t="s">
        <v>574</v>
      </c>
      <c r="H1" s="2" t="s">
        <v>223</v>
      </c>
      <c r="I1" s="2" t="s">
        <v>224</v>
      </c>
      <c r="J1" s="2" t="s">
        <v>225</v>
      </c>
    </row>
    <row r="2" spans="1:10">
      <c r="A2" s="127"/>
      <c r="B2" s="135"/>
      <c r="C2" s="136"/>
      <c r="D2" s="137"/>
      <c r="E2" s="50"/>
      <c r="F2" s="50"/>
      <c r="G2" s="138"/>
      <c r="H2" s="7">
        <f>SUM(H3:H7)</f>
        <v>0</v>
      </c>
      <c r="I2" s="53">
        <v>1</v>
      </c>
      <c r="J2" s="7">
        <f>SUM(J3:J7)</f>
        <v>0</v>
      </c>
    </row>
    <row r="3" spans="1:10">
      <c r="A3" s="1">
        <v>1</v>
      </c>
      <c r="B3" s="1"/>
      <c r="C3" s="1" t="s">
        <v>203</v>
      </c>
      <c r="D3" s="139">
        <v>5</v>
      </c>
      <c r="E3" s="139">
        <v>2</v>
      </c>
      <c r="F3" s="140">
        <v>10</v>
      </c>
      <c r="G3" s="7">
        <f>IF(AND(G2&lt;=D3,G2&gt;0),1,0)</f>
        <v>0</v>
      </c>
      <c r="H3" s="7">
        <f>IF(G3=1,F3,0)</f>
        <v>0</v>
      </c>
      <c r="I3" s="53">
        <f>I$2</f>
        <v>1</v>
      </c>
      <c r="J3" s="7">
        <f>H3*I3</f>
        <v>0</v>
      </c>
    </row>
    <row r="4" spans="1:10">
      <c r="A4" s="1">
        <v>2</v>
      </c>
      <c r="B4" s="139">
        <v>5</v>
      </c>
      <c r="C4" s="1" t="s">
        <v>196</v>
      </c>
      <c r="D4" s="139">
        <v>20</v>
      </c>
      <c r="E4" s="139">
        <v>2</v>
      </c>
      <c r="F4" s="140">
        <v>10</v>
      </c>
      <c r="G4" s="7">
        <f>IF(AND($G$2&lt;=D4,$G$2&gt;B4),1,0)</f>
        <v>0</v>
      </c>
      <c r="H4" s="7">
        <f>IF(G4=1,(F4+(G$2-B4)*E4),0)</f>
        <v>0</v>
      </c>
      <c r="I4" s="53">
        <f t="shared" ref="I4:I7" si="0">I$2</f>
        <v>1</v>
      </c>
      <c r="J4" s="7">
        <f t="shared" ref="J4:J7" si="1">H4*I4</f>
        <v>0</v>
      </c>
    </row>
    <row r="5" spans="1:10">
      <c r="A5" s="1">
        <v>3</v>
      </c>
      <c r="B5" s="139">
        <v>20</v>
      </c>
      <c r="C5" s="1" t="s">
        <v>196</v>
      </c>
      <c r="D5" s="139">
        <v>100</v>
      </c>
      <c r="E5" s="139">
        <v>1.5</v>
      </c>
      <c r="F5" s="140">
        <v>40</v>
      </c>
      <c r="G5" s="7">
        <f t="shared" ref="G5:G6" si="2">IF(AND($G$2&lt;=D5,$G$2&gt;B5),1,0)</f>
        <v>0</v>
      </c>
      <c r="H5" s="7">
        <f>IF(G5=1,(F5+(G$2-B5)*E5),0)</f>
        <v>0</v>
      </c>
      <c r="I5" s="53">
        <f t="shared" si="0"/>
        <v>1</v>
      </c>
      <c r="J5" s="7">
        <f t="shared" si="1"/>
        <v>0</v>
      </c>
    </row>
    <row r="6" spans="1:10">
      <c r="A6" s="1">
        <v>4</v>
      </c>
      <c r="B6" s="139">
        <v>100</v>
      </c>
      <c r="C6" s="1" t="s">
        <v>196</v>
      </c>
      <c r="D6" s="139">
        <v>200</v>
      </c>
      <c r="E6" s="139">
        <v>1</v>
      </c>
      <c r="F6" s="140">
        <v>160</v>
      </c>
      <c r="G6" s="7">
        <f t="shared" si="2"/>
        <v>0</v>
      </c>
      <c r="H6" s="7">
        <f>IF(G6=1,(F6+(G$2-B6)*E6),0)</f>
        <v>0</v>
      </c>
      <c r="I6" s="53">
        <f t="shared" si="0"/>
        <v>1</v>
      </c>
      <c r="J6" s="7">
        <f t="shared" si="1"/>
        <v>0</v>
      </c>
    </row>
    <row r="7" spans="1:10">
      <c r="A7" s="1">
        <v>5</v>
      </c>
      <c r="B7" s="139">
        <v>200</v>
      </c>
      <c r="C7" s="1" t="s">
        <v>203</v>
      </c>
      <c r="D7" s="1"/>
      <c r="E7" s="139">
        <v>0.8</v>
      </c>
      <c r="F7" s="140">
        <v>260</v>
      </c>
      <c r="G7" s="7">
        <f>IF(G2&gt;B7,1,0)</f>
        <v>0</v>
      </c>
      <c r="H7" s="7">
        <f t="shared" ref="H7" si="3">IF(G7=1,MAX(F7,E7*$G$2),0)</f>
        <v>0</v>
      </c>
      <c r="I7" s="53">
        <f t="shared" si="0"/>
        <v>1</v>
      </c>
      <c r="J7" s="7">
        <f t="shared" si="1"/>
        <v>0</v>
      </c>
    </row>
  </sheetData>
  <mergeCells count="4">
    <mergeCell ref="A1:A2"/>
    <mergeCell ref="E1:E2"/>
    <mergeCell ref="F1:F2"/>
    <mergeCell ref="B1:D2"/>
  </mergeCell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M9"/>
  <sheetViews>
    <sheetView workbookViewId="0">
      <selection activeCell="I23" sqref="I23"/>
    </sheetView>
  </sheetViews>
  <sheetFormatPr defaultColWidth="9" defaultRowHeight="14"/>
  <cols>
    <col min="5" max="5" width="11.6666666666667" customWidth="1"/>
    <col min="6" max="8" width="11.6666666666667" hidden="1" customWidth="1"/>
    <col min="9" max="9" width="11.6666666666667" customWidth="1"/>
    <col min="11" max="13" width="11.6666666666667" hidden="1" customWidth="1"/>
  </cols>
  <sheetData>
    <row r="1" ht="27.6" customHeight="1" spans="1:13">
      <c r="A1" s="125" t="s">
        <v>0</v>
      </c>
      <c r="B1" s="12" t="s">
        <v>191</v>
      </c>
      <c r="C1" s="13"/>
      <c r="D1" s="14"/>
      <c r="E1" s="1" t="s">
        <v>192</v>
      </c>
      <c r="F1" s="1"/>
      <c r="G1" s="1"/>
      <c r="H1" s="1"/>
      <c r="I1" s="2" t="s">
        <v>573</v>
      </c>
      <c r="J1" s="2" t="s">
        <v>194</v>
      </c>
      <c r="K1" s="2"/>
      <c r="L1" s="2"/>
      <c r="M1" s="2"/>
    </row>
    <row r="2" ht="13.8" customHeight="1" spans="1:13">
      <c r="A2" s="126"/>
      <c r="B2" s="15"/>
      <c r="C2" s="6"/>
      <c r="D2" s="16"/>
      <c r="E2" s="2" t="s">
        <v>208</v>
      </c>
      <c r="F2" s="125" t="s">
        <v>209</v>
      </c>
      <c r="G2" s="125" t="s">
        <v>575</v>
      </c>
      <c r="H2" s="130" t="s">
        <v>576</v>
      </c>
      <c r="I2" s="2"/>
      <c r="J2" s="2" t="s">
        <v>208</v>
      </c>
      <c r="K2" s="7" t="s">
        <v>209</v>
      </c>
      <c r="L2" s="7" t="s">
        <v>575</v>
      </c>
      <c r="M2" s="117" t="s">
        <v>576</v>
      </c>
    </row>
    <row r="3" spans="1:13">
      <c r="A3" s="127"/>
      <c r="B3" s="92"/>
      <c r="C3" s="93"/>
      <c r="D3" s="94"/>
      <c r="E3" s="2"/>
      <c r="F3" s="127"/>
      <c r="G3" s="127"/>
      <c r="H3" s="131"/>
      <c r="I3" s="44">
        <v>120000</v>
      </c>
      <c r="J3" s="45">
        <f>SUM(J4:J9)</f>
        <v>835.038001900095</v>
      </c>
      <c r="K3" s="45">
        <f>SUM(K4:K9)</f>
        <v>-133.006650332517</v>
      </c>
      <c r="L3" s="45">
        <f>SUM(L4:L9)</f>
        <v>47.0019000950047</v>
      </c>
      <c r="M3" s="45">
        <f>SUM(M4:M9)</f>
        <v>-38.0019000950047</v>
      </c>
    </row>
    <row r="4" ht="13.8" customHeight="1" spans="1:13">
      <c r="A4" s="1">
        <v>1</v>
      </c>
      <c r="B4" s="1"/>
      <c r="C4" s="1" t="s">
        <v>195</v>
      </c>
      <c r="D4" s="1">
        <v>3000</v>
      </c>
      <c r="E4" s="128">
        <v>5</v>
      </c>
      <c r="F4" s="1">
        <v>1</v>
      </c>
      <c r="G4" s="1">
        <v>0.8</v>
      </c>
      <c r="H4" s="1">
        <v>0.5</v>
      </c>
      <c r="I4" s="8">
        <f>IF(I3&lt;=D4,1,0)</f>
        <v>0</v>
      </c>
      <c r="J4" s="45">
        <f>IF(I4=1,(E4/I3*D4),0)</f>
        <v>0</v>
      </c>
      <c r="K4" s="45">
        <f>IF($I4=1,(F4/$I$3*$D4),0)</f>
        <v>0</v>
      </c>
      <c r="L4" s="45">
        <f t="shared" ref="L4:M4" si="0">IF($I4=1,(G4/$I$3*$D4),0)</f>
        <v>0</v>
      </c>
      <c r="M4" s="45">
        <f t="shared" si="0"/>
        <v>0</v>
      </c>
    </row>
    <row r="5" spans="1:13">
      <c r="A5" s="1">
        <v>2</v>
      </c>
      <c r="B5" s="1">
        <v>3000</v>
      </c>
      <c r="C5" s="1" t="s">
        <v>196</v>
      </c>
      <c r="D5" s="1">
        <v>20000</v>
      </c>
      <c r="E5" s="128">
        <v>6</v>
      </c>
      <c r="F5" s="1">
        <v>2</v>
      </c>
      <c r="G5" s="1">
        <v>1.5</v>
      </c>
      <c r="H5" s="1">
        <v>0.8</v>
      </c>
      <c r="I5" s="8">
        <f>IF(AND($I$3&lt;=D5,$I$3&gt;B5),1,0)</f>
        <v>0</v>
      </c>
      <c r="J5" s="45">
        <f>IF($I5=1,(E5+(E6-E5)/($I$3-$B5)*($D5-$B5)),0)</f>
        <v>0</v>
      </c>
      <c r="K5" s="45">
        <f t="shared" ref="K5:M9" si="1">IF($I5=1,(F5+(F6-F5)/($I$3-$B5)*($D5-$B5)),0)</f>
        <v>0</v>
      </c>
      <c r="L5" s="45">
        <f t="shared" si="1"/>
        <v>0</v>
      </c>
      <c r="M5" s="45">
        <f t="shared" si="1"/>
        <v>0</v>
      </c>
    </row>
    <row r="6" ht="13.8" customHeight="1" spans="1:13">
      <c r="A6" s="1">
        <v>3</v>
      </c>
      <c r="B6" s="1">
        <v>20001</v>
      </c>
      <c r="C6" s="1" t="s">
        <v>196</v>
      </c>
      <c r="D6" s="1">
        <v>100000</v>
      </c>
      <c r="E6" s="128">
        <v>15</v>
      </c>
      <c r="F6" s="1">
        <v>4</v>
      </c>
      <c r="G6" s="1">
        <v>3</v>
      </c>
      <c r="H6" s="1">
        <v>1.5</v>
      </c>
      <c r="I6" s="8">
        <f>IF(AND($I$3&lt;=D6,$I$3&gt;B6),1,0)</f>
        <v>0</v>
      </c>
      <c r="J6" s="45">
        <f>IF($I6=1,(E6+(E7-E6)/($I$3-$B6)*($D6-$B6)),0)</f>
        <v>0</v>
      </c>
      <c r="K6" s="45">
        <f t="shared" si="1"/>
        <v>0</v>
      </c>
      <c r="L6" s="45">
        <f t="shared" si="1"/>
        <v>0</v>
      </c>
      <c r="M6" s="45">
        <f t="shared" si="1"/>
        <v>0</v>
      </c>
    </row>
    <row r="7" spans="1:13">
      <c r="A7" s="1">
        <v>4</v>
      </c>
      <c r="B7" s="1">
        <v>100001</v>
      </c>
      <c r="C7" s="1" t="s">
        <v>196</v>
      </c>
      <c r="D7" s="1">
        <v>500000</v>
      </c>
      <c r="E7" s="128">
        <v>35</v>
      </c>
      <c r="F7" s="1">
        <v>7</v>
      </c>
      <c r="G7" s="1">
        <v>7</v>
      </c>
      <c r="H7" s="1">
        <v>2</v>
      </c>
      <c r="I7" s="8">
        <f t="shared" ref="I7:I9" si="2">IF(AND($I$3&lt;=D7,$I$3&gt;B7),1,0)</f>
        <v>1</v>
      </c>
      <c r="J7" s="45">
        <f t="shared" ref="J7:J9" si="3">IF($I7=1,(E7+(E8-E7)/($I$3-$B7)*($D7-$B7)),0)</f>
        <v>835.038001900095</v>
      </c>
      <c r="K7" s="45">
        <f t="shared" si="1"/>
        <v>-133.006650332517</v>
      </c>
      <c r="L7" s="45">
        <f t="shared" si="1"/>
        <v>47.0019000950047</v>
      </c>
      <c r="M7" s="45">
        <f t="shared" si="1"/>
        <v>-38.0019000950047</v>
      </c>
    </row>
    <row r="8" ht="13.8" customHeight="1" spans="1:13">
      <c r="A8" s="1">
        <v>5</v>
      </c>
      <c r="B8" s="1">
        <v>500001</v>
      </c>
      <c r="C8" s="1" t="s">
        <v>196</v>
      </c>
      <c r="D8" s="1">
        <v>1000000</v>
      </c>
      <c r="E8" s="128">
        <v>75</v>
      </c>
      <c r="F8" s="1"/>
      <c r="G8" s="1">
        <v>9</v>
      </c>
      <c r="H8" s="1"/>
      <c r="I8" s="8">
        <f t="shared" si="2"/>
        <v>0</v>
      </c>
      <c r="J8" s="45">
        <f t="shared" si="3"/>
        <v>0</v>
      </c>
      <c r="K8" s="45">
        <f t="shared" si="1"/>
        <v>0</v>
      </c>
      <c r="L8" s="45">
        <f t="shared" si="1"/>
        <v>0</v>
      </c>
      <c r="M8" s="45">
        <f t="shared" si="1"/>
        <v>0</v>
      </c>
    </row>
    <row r="9" spans="1:13">
      <c r="A9" s="1">
        <v>6</v>
      </c>
      <c r="B9" s="1">
        <v>1000000</v>
      </c>
      <c r="C9" s="1" t="s">
        <v>196</v>
      </c>
      <c r="D9" s="1">
        <v>500000</v>
      </c>
      <c r="E9" s="128">
        <v>110</v>
      </c>
      <c r="F9" s="1"/>
      <c r="G9" s="1">
        <v>13</v>
      </c>
      <c r="H9" s="1"/>
      <c r="I9" s="8">
        <f t="shared" si="2"/>
        <v>0</v>
      </c>
      <c r="J9" s="45">
        <f t="shared" si="3"/>
        <v>0</v>
      </c>
      <c r="K9" s="45">
        <f t="shared" si="1"/>
        <v>0</v>
      </c>
      <c r="L9" s="45">
        <f t="shared" si="1"/>
        <v>0</v>
      </c>
      <c r="M9" s="45">
        <f t="shared" si="1"/>
        <v>0</v>
      </c>
    </row>
  </sheetData>
  <mergeCells count="9">
    <mergeCell ref="E1:H1"/>
    <mergeCell ref="J1:M1"/>
    <mergeCell ref="A1:A3"/>
    <mergeCell ref="E2:E3"/>
    <mergeCell ref="F2:F3"/>
    <mergeCell ref="G2:G3"/>
    <mergeCell ref="H2:H3"/>
    <mergeCell ref="I1:I2"/>
    <mergeCell ref="B1:D3"/>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O19"/>
  <sheetViews>
    <sheetView workbookViewId="0">
      <selection activeCell="J4" sqref="J4"/>
    </sheetView>
  </sheetViews>
  <sheetFormatPr defaultColWidth="9" defaultRowHeight="14"/>
  <cols>
    <col min="5" max="5" width="11.6666666666667" customWidth="1"/>
    <col min="6" max="6" width="16.1083333333333" customWidth="1"/>
    <col min="8" max="8" width="20.4416666666667" customWidth="1"/>
    <col min="9" max="10" width="11.6666666666667" customWidth="1"/>
    <col min="11" max="12" width="16.1083333333333" customWidth="1"/>
    <col min="13" max="13" width="20.4416666666667" customWidth="1"/>
  </cols>
  <sheetData>
    <row r="1" ht="40.5" spans="1:10">
      <c r="A1" s="119" t="s">
        <v>577</v>
      </c>
      <c r="B1" s="120" t="s">
        <v>578</v>
      </c>
      <c r="C1" s="120" t="s">
        <v>579</v>
      </c>
      <c r="D1" s="120" t="s">
        <v>580</v>
      </c>
      <c r="E1" s="120" t="s">
        <v>581</v>
      </c>
      <c r="F1" s="120" t="s">
        <v>582</v>
      </c>
      <c r="G1" s="120"/>
      <c r="H1" s="120"/>
      <c r="I1" s="120" t="s">
        <v>583</v>
      </c>
      <c r="J1" s="120" t="s">
        <v>584</v>
      </c>
    </row>
    <row r="2" ht="27.75" spans="1:10">
      <c r="A2" s="121" t="s">
        <v>585</v>
      </c>
      <c r="B2" s="122" t="s">
        <v>586</v>
      </c>
      <c r="C2" s="122" t="s">
        <v>20</v>
      </c>
      <c r="D2" s="122" t="s">
        <v>587</v>
      </c>
      <c r="E2" s="122" t="s">
        <v>588</v>
      </c>
      <c r="F2" s="122" t="s">
        <v>589</v>
      </c>
      <c r="G2" s="122"/>
      <c r="H2" s="122"/>
      <c r="I2" s="122" t="s">
        <v>584</v>
      </c>
      <c r="J2" s="122" t="s">
        <v>590</v>
      </c>
    </row>
    <row r="3" ht="41.25" spans="1:10">
      <c r="A3" s="123" t="s">
        <v>591</v>
      </c>
      <c r="B3" s="122" t="s">
        <v>592</v>
      </c>
      <c r="C3" s="122" t="s">
        <v>593</v>
      </c>
      <c r="D3" s="122" t="s">
        <v>594</v>
      </c>
      <c r="E3" s="122" t="s">
        <v>595</v>
      </c>
      <c r="F3" s="122" t="s">
        <v>596</v>
      </c>
      <c r="G3" s="122"/>
      <c r="H3" s="122"/>
      <c r="I3" s="122" t="s">
        <v>597</v>
      </c>
      <c r="J3" s="129" t="s">
        <v>598</v>
      </c>
    </row>
    <row r="4" ht="41.25" spans="1:10">
      <c r="A4" s="123" t="s">
        <v>599</v>
      </c>
      <c r="B4" s="122" t="s">
        <v>600</v>
      </c>
      <c r="C4" s="122" t="s">
        <v>601</v>
      </c>
      <c r="D4" s="122" t="s">
        <v>602</v>
      </c>
      <c r="E4" s="122" t="s">
        <v>603</v>
      </c>
      <c r="F4" s="122" t="s">
        <v>604</v>
      </c>
      <c r="G4" s="122"/>
      <c r="H4" s="122"/>
      <c r="I4" s="122" t="s">
        <v>605</v>
      </c>
      <c r="J4" s="129" t="s">
        <v>606</v>
      </c>
    </row>
    <row r="5" ht="41.25" spans="1:10">
      <c r="A5" s="123" t="s">
        <v>607</v>
      </c>
      <c r="B5" s="122" t="s">
        <v>608</v>
      </c>
      <c r="C5" s="122" t="s">
        <v>592</v>
      </c>
      <c r="D5" s="122" t="s">
        <v>609</v>
      </c>
      <c r="E5" s="122" t="s">
        <v>610</v>
      </c>
      <c r="F5" s="122" t="s">
        <v>611</v>
      </c>
      <c r="G5" s="122"/>
      <c r="H5" s="122"/>
      <c r="I5" s="122" t="s">
        <v>612</v>
      </c>
      <c r="J5" s="129" t="s">
        <v>613</v>
      </c>
    </row>
    <row r="6" ht="41.25" spans="1:10">
      <c r="A6" s="123" t="s">
        <v>614</v>
      </c>
      <c r="B6" s="122" t="s">
        <v>615</v>
      </c>
      <c r="C6" s="122" t="s">
        <v>616</v>
      </c>
      <c r="D6" s="122" t="s">
        <v>617</v>
      </c>
      <c r="E6" s="122" t="s">
        <v>618</v>
      </c>
      <c r="F6" s="122" t="s">
        <v>619</v>
      </c>
      <c r="G6" s="122"/>
      <c r="H6" s="122"/>
      <c r="I6" s="122" t="s">
        <v>620</v>
      </c>
      <c r="J6" s="129" t="s">
        <v>621</v>
      </c>
    </row>
    <row r="7" ht="27.75" spans="1:10">
      <c r="A7" s="123" t="s">
        <v>622</v>
      </c>
      <c r="B7" s="124" t="s">
        <v>623</v>
      </c>
      <c r="C7" s="124"/>
      <c r="D7" s="124"/>
      <c r="E7" s="124"/>
      <c r="F7" s="124"/>
      <c r="G7" s="124"/>
      <c r="H7" s="124"/>
      <c r="I7" s="124"/>
      <c r="J7" s="129"/>
    </row>
    <row r="8" spans="1:13">
      <c r="A8" s="92" t="s">
        <v>228</v>
      </c>
      <c r="B8" s="93"/>
      <c r="C8" s="93"/>
      <c r="D8" s="93"/>
      <c r="E8" s="93"/>
      <c r="F8" s="93"/>
      <c r="G8" s="93"/>
      <c r="H8" s="93"/>
      <c r="I8" s="93"/>
      <c r="J8" s="93"/>
      <c r="K8" s="93"/>
      <c r="L8" s="93"/>
      <c r="M8" s="93"/>
    </row>
    <row r="9" ht="27.6" customHeight="1" spans="1:15">
      <c r="A9" s="125" t="s">
        <v>0</v>
      </c>
      <c r="B9" s="12" t="s">
        <v>191</v>
      </c>
      <c r="C9" s="13"/>
      <c r="D9" s="14"/>
      <c r="E9" s="12" t="s">
        <v>192</v>
      </c>
      <c r="F9" s="13"/>
      <c r="G9" s="13"/>
      <c r="H9" s="14"/>
      <c r="I9" s="2" t="s">
        <v>573</v>
      </c>
      <c r="J9" s="1" t="s">
        <v>194</v>
      </c>
      <c r="K9" s="1"/>
      <c r="L9" s="1"/>
      <c r="M9" s="1"/>
      <c r="N9" s="4"/>
      <c r="O9" s="4"/>
    </row>
    <row r="10" spans="1:13">
      <c r="A10" s="126"/>
      <c r="B10" s="15"/>
      <c r="C10" s="6"/>
      <c r="D10" s="16"/>
      <c r="E10" s="92"/>
      <c r="F10" s="93"/>
      <c r="G10" s="93"/>
      <c r="H10" s="94"/>
      <c r="I10" s="2"/>
      <c r="J10" s="1" t="s">
        <v>624</v>
      </c>
      <c r="K10" s="7" t="s">
        <v>625</v>
      </c>
      <c r="L10" s="7" t="s">
        <v>626</v>
      </c>
      <c r="M10" s="117" t="s">
        <v>627</v>
      </c>
    </row>
    <row r="11" spans="1:13">
      <c r="A11" s="127"/>
      <c r="B11" s="92"/>
      <c r="C11" s="93"/>
      <c r="D11" s="94"/>
      <c r="E11" s="1" t="s">
        <v>624</v>
      </c>
      <c r="F11" s="7" t="s">
        <v>625</v>
      </c>
      <c r="G11" s="7" t="s">
        <v>626</v>
      </c>
      <c r="H11" s="117" t="s">
        <v>627</v>
      </c>
      <c r="I11" s="44">
        <v>5600</v>
      </c>
      <c r="J11" s="45">
        <f>SUM(J12:J18)</f>
        <v>27.5436706425548</v>
      </c>
      <c r="K11" s="45">
        <f t="shared" ref="K11:M11" si="0">SUM(K12:K18)</f>
        <v>55.0873412851097</v>
      </c>
      <c r="L11" s="45">
        <f t="shared" si="0"/>
        <v>14.7718353212774</v>
      </c>
      <c r="M11" s="45">
        <f t="shared" si="0"/>
        <v>18.4647941515968</v>
      </c>
    </row>
    <row r="12" ht="13.8" customHeight="1" spans="1:13">
      <c r="A12" s="1">
        <v>1</v>
      </c>
      <c r="B12" s="1"/>
      <c r="C12" s="1" t="s">
        <v>195</v>
      </c>
      <c r="D12" s="1">
        <v>1000</v>
      </c>
      <c r="E12" s="128">
        <v>2</v>
      </c>
      <c r="F12" s="1">
        <v>3</v>
      </c>
      <c r="G12" s="1">
        <v>1</v>
      </c>
      <c r="H12" s="1">
        <v>1.5</v>
      </c>
      <c r="I12" s="8">
        <f>IF(I11&lt;=D12,1,0)</f>
        <v>0</v>
      </c>
      <c r="J12" s="45">
        <f>IF(I12=1,(E12/I11*D12),0)</f>
        <v>0</v>
      </c>
      <c r="K12" s="45">
        <f>IF($I12=1,(F12/$I$11*$D12),0)</f>
        <v>0</v>
      </c>
      <c r="L12" s="45">
        <f t="shared" ref="L12:M12" si="1">IF($I12=1,(G12/$I$11*$D12),0)</f>
        <v>0</v>
      </c>
      <c r="M12" s="45">
        <f t="shared" si="1"/>
        <v>0</v>
      </c>
    </row>
    <row r="13" spans="1:13">
      <c r="A13" s="1">
        <v>2</v>
      </c>
      <c r="B13" s="1">
        <v>1001</v>
      </c>
      <c r="C13" s="1" t="s">
        <v>196</v>
      </c>
      <c r="D13" s="1">
        <v>3000</v>
      </c>
      <c r="E13" s="128">
        <v>4</v>
      </c>
      <c r="F13" s="1">
        <v>6</v>
      </c>
      <c r="G13" s="1">
        <v>2</v>
      </c>
      <c r="H13" s="1">
        <v>3</v>
      </c>
      <c r="I13" s="8">
        <f>IF(AND($I$11&lt;=D13,$I$11&gt;B13),1,0)</f>
        <v>0</v>
      </c>
      <c r="J13" s="45">
        <f>IF($I13=1,(E13+(E14-E13)/($I$11-$B13)*($D13-$B13)),0)</f>
        <v>0</v>
      </c>
      <c r="K13" s="45">
        <f>IF($I13=1,(F13+(F14-F13)/($I$11-$B13)*($D13-$B13)),0)</f>
        <v>0</v>
      </c>
      <c r="L13" s="45">
        <f t="shared" ref="L13:M13" si="2">IF($I13=1,(G13+(G14-G13)/($I$11-$B13)*($D13-$B13)),0)</f>
        <v>0</v>
      </c>
      <c r="M13" s="45">
        <f t="shared" si="2"/>
        <v>0</v>
      </c>
    </row>
    <row r="14" spans="1:13">
      <c r="A14" s="1">
        <v>3</v>
      </c>
      <c r="B14" s="1">
        <v>3001</v>
      </c>
      <c r="C14" s="1" t="s">
        <v>196</v>
      </c>
      <c r="D14" s="1">
        <v>10000</v>
      </c>
      <c r="E14" s="128">
        <v>6</v>
      </c>
      <c r="F14" s="1">
        <v>12</v>
      </c>
      <c r="G14" s="1">
        <v>4</v>
      </c>
      <c r="H14" s="1">
        <v>5</v>
      </c>
      <c r="I14" s="8">
        <f>IF(AND($I$11&lt;=D14,$I$11&gt;B14),1,0)</f>
        <v>1</v>
      </c>
      <c r="J14" s="45">
        <f>IF($I14=1,(E14+(E15-E14)/($I$11-$B14)*($D14-$B14)),0)</f>
        <v>27.5436706425548</v>
      </c>
      <c r="K14" s="45">
        <f t="shared" ref="K14:K18" si="3">IF($I14=1,(F14+(F15-F14)/($I$11-$B14)*($D14-$B14)),0)</f>
        <v>55.0873412851097</v>
      </c>
      <c r="L14" s="45">
        <f t="shared" ref="L14:L18" si="4">IF($I14=1,(G14+(G15-G14)/($I$11-$B14)*($D14-$B14)),0)</f>
        <v>14.7718353212774</v>
      </c>
      <c r="M14" s="45">
        <f t="shared" ref="M14:M18" si="5">IF($I14=1,(H14+(H15-H14)/($I$11-$B14)*($D14-$B14)),0)</f>
        <v>18.4647941515968</v>
      </c>
    </row>
    <row r="15" spans="1:13">
      <c r="A15" s="1">
        <v>4</v>
      </c>
      <c r="B15" s="1">
        <v>10001</v>
      </c>
      <c r="C15" s="1" t="s">
        <v>196</v>
      </c>
      <c r="D15" s="1">
        <v>50000</v>
      </c>
      <c r="E15" s="128">
        <v>14</v>
      </c>
      <c r="F15" s="1">
        <v>28</v>
      </c>
      <c r="G15" s="1">
        <v>8</v>
      </c>
      <c r="H15" s="1">
        <v>10</v>
      </c>
      <c r="I15" s="8">
        <f>IF(AND($I$11&lt;=D15,$I$11&gt;B15),1,0)</f>
        <v>0</v>
      </c>
      <c r="J15" s="45">
        <f>IF($I15=1,(E15+(E16-E15)/($I$11-$B15)*($D15-$B15)),0)</f>
        <v>0</v>
      </c>
      <c r="K15" s="45">
        <f t="shared" si="3"/>
        <v>0</v>
      </c>
      <c r="L15" s="45">
        <f t="shared" si="4"/>
        <v>0</v>
      </c>
      <c r="M15" s="45">
        <f t="shared" si="5"/>
        <v>0</v>
      </c>
    </row>
    <row r="16" spans="1:13">
      <c r="A16" s="1">
        <v>5</v>
      </c>
      <c r="B16" s="1">
        <v>50001</v>
      </c>
      <c r="C16" s="1" t="s">
        <v>196</v>
      </c>
      <c r="D16" s="1">
        <v>100000</v>
      </c>
      <c r="E16" s="128">
        <v>37</v>
      </c>
      <c r="F16" s="1">
        <v>75</v>
      </c>
      <c r="G16" s="1">
        <v>12</v>
      </c>
      <c r="H16" s="1">
        <v>15</v>
      </c>
      <c r="I16" s="8">
        <f>IF(AND($I$11&lt;=D16,$I$11&gt;B16),1,0)</f>
        <v>0</v>
      </c>
      <c r="J16" s="45">
        <f t="shared" ref="J16:J18" si="6">IF($I16=1,(E16+(E17-E16)/($I$11-$B16)*($D16-$B16)),0)</f>
        <v>0</v>
      </c>
      <c r="K16" s="45">
        <f t="shared" si="3"/>
        <v>0</v>
      </c>
      <c r="L16" s="45">
        <f t="shared" si="4"/>
        <v>0</v>
      </c>
      <c r="M16" s="45">
        <f t="shared" si="5"/>
        <v>0</v>
      </c>
    </row>
    <row r="17" spans="1:13">
      <c r="A17" s="1">
        <v>6</v>
      </c>
      <c r="B17" s="1">
        <v>100000</v>
      </c>
      <c r="C17" s="1" t="s">
        <v>196</v>
      </c>
      <c r="D17" s="1">
        <v>500000</v>
      </c>
      <c r="E17" s="128">
        <v>55</v>
      </c>
      <c r="F17" s="1">
        <v>110</v>
      </c>
      <c r="G17" s="1">
        <v>15</v>
      </c>
      <c r="H17" s="1">
        <v>20</v>
      </c>
      <c r="I17" s="8">
        <f>IF(AND($I$11&lt;=D17,$I$11&gt;B17),1,0)</f>
        <v>0</v>
      </c>
      <c r="J17" s="45">
        <f t="shared" si="6"/>
        <v>0</v>
      </c>
      <c r="K17" s="45">
        <f t="shared" si="3"/>
        <v>0</v>
      </c>
      <c r="L17" s="45">
        <f t="shared" si="4"/>
        <v>0</v>
      </c>
      <c r="M17" s="45">
        <f t="shared" si="5"/>
        <v>0</v>
      </c>
    </row>
    <row r="18" spans="1:13">
      <c r="A18" s="1">
        <v>7</v>
      </c>
      <c r="B18" s="117">
        <v>500000</v>
      </c>
      <c r="C18" s="1"/>
      <c r="D18" s="7"/>
      <c r="E18" s="1">
        <v>100</v>
      </c>
      <c r="F18" s="1">
        <v>200</v>
      </c>
      <c r="G18" s="1">
        <v>17</v>
      </c>
      <c r="H18" s="1">
        <v>25</v>
      </c>
      <c r="I18" s="8">
        <f>IF(AND($I$11&gt;B18),1,0)</f>
        <v>0</v>
      </c>
      <c r="J18" s="45">
        <f t="shared" si="6"/>
        <v>0</v>
      </c>
      <c r="K18" s="45">
        <f t="shared" si="3"/>
        <v>0</v>
      </c>
      <c r="L18" s="45">
        <f t="shared" si="4"/>
        <v>0</v>
      </c>
      <c r="M18" s="45">
        <f t="shared" si="5"/>
        <v>0</v>
      </c>
    </row>
    <row r="19" spans="1:13">
      <c r="A19" s="7"/>
      <c r="B19" s="7"/>
      <c r="C19" s="7"/>
      <c r="D19" s="7"/>
      <c r="E19" s="1">
        <v>125</v>
      </c>
      <c r="F19" s="117">
        <v>250</v>
      </c>
      <c r="G19" s="1">
        <v>20</v>
      </c>
      <c r="H19" s="1">
        <v>35</v>
      </c>
      <c r="I19" s="7"/>
      <c r="J19" s="7"/>
      <c r="K19" s="7"/>
      <c r="L19" s="7"/>
      <c r="M19" s="7"/>
    </row>
  </sheetData>
  <mergeCells count="7">
    <mergeCell ref="B7:J7"/>
    <mergeCell ref="A8:M8"/>
    <mergeCell ref="J9:M9"/>
    <mergeCell ref="A9:A11"/>
    <mergeCell ref="I9:I10"/>
    <mergeCell ref="B9:D11"/>
    <mergeCell ref="E9:H10"/>
  </mergeCell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topLeftCell="A37" workbookViewId="0">
      <selection activeCell="H6" sqref="A1:H6"/>
    </sheetView>
  </sheetViews>
  <sheetFormatPr defaultColWidth="9" defaultRowHeight="14" outlineLevelRow="5" outlineLevelCol="7"/>
  <cols>
    <col min="7" max="7" width="13.8916666666667" customWidth="1"/>
  </cols>
  <sheetData>
    <row r="1" spans="1:8">
      <c r="A1" s="1" t="s">
        <v>228</v>
      </c>
      <c r="B1" s="1"/>
      <c r="C1" s="1"/>
      <c r="D1" s="1"/>
      <c r="E1" s="1"/>
      <c r="F1" s="1"/>
      <c r="G1" s="1" t="s">
        <v>628</v>
      </c>
      <c r="H1" s="1" t="s">
        <v>230</v>
      </c>
    </row>
    <row r="2" spans="1:8">
      <c r="A2" s="1" t="s">
        <v>0</v>
      </c>
      <c r="B2" s="1" t="s">
        <v>191</v>
      </c>
      <c r="C2" s="1"/>
      <c r="D2" s="1"/>
      <c r="E2" s="1" t="s">
        <v>231</v>
      </c>
      <c r="F2" s="1" t="s">
        <v>232</v>
      </c>
      <c r="G2" s="44">
        <f>其他费自动计算!C2</f>
        <v>17385.78</v>
      </c>
      <c r="H2" s="45">
        <f>SUM(H3:H6)</f>
        <v>18.98578</v>
      </c>
    </row>
    <row r="3" spans="1:8">
      <c r="A3" s="1">
        <v>1</v>
      </c>
      <c r="B3" s="1"/>
      <c r="C3" s="1" t="s">
        <v>195</v>
      </c>
      <c r="D3" s="1">
        <v>500</v>
      </c>
      <c r="E3" s="116">
        <v>0.002</v>
      </c>
      <c r="F3" s="56">
        <f>E3*D3</f>
        <v>1</v>
      </c>
      <c r="G3" s="8">
        <f>IF($G$2&lt;=D3,1,0)</f>
        <v>0</v>
      </c>
      <c r="H3" s="45">
        <f>IF(G3=1,(G2*E3),0)</f>
        <v>0</v>
      </c>
    </row>
    <row r="4" spans="1:8">
      <c r="A4" s="1">
        <v>2</v>
      </c>
      <c r="B4" s="1">
        <v>500</v>
      </c>
      <c r="C4" s="1" t="s">
        <v>196</v>
      </c>
      <c r="D4" s="1">
        <v>1000</v>
      </c>
      <c r="E4" s="116">
        <v>0.0016</v>
      </c>
      <c r="F4" s="56">
        <f>F3+(D4-B4)*E4</f>
        <v>1.8</v>
      </c>
      <c r="G4" s="8">
        <f>IF(AND($G$2&lt;=D4,$G$2&gt;B4),1,0)</f>
        <v>0</v>
      </c>
      <c r="H4" s="45">
        <f>IF(G4=1,(F3+($G$2-D3)*E4),0)</f>
        <v>0</v>
      </c>
    </row>
    <row r="5" spans="1:8">
      <c r="A5" s="1">
        <v>3</v>
      </c>
      <c r="B5" s="1">
        <v>1000</v>
      </c>
      <c r="C5" s="1" t="s">
        <v>196</v>
      </c>
      <c r="D5" s="1">
        <v>5000</v>
      </c>
      <c r="E5" s="116">
        <v>0.0012</v>
      </c>
      <c r="F5" s="56">
        <f t="shared" ref="F5" si="0">F4+(D5-B5)*E5</f>
        <v>6.6</v>
      </c>
      <c r="G5" s="8">
        <f t="shared" ref="G5" si="1">IF(AND($G$2&lt;=D5,$G$2&gt;B5),1,0)</f>
        <v>0</v>
      </c>
      <c r="H5" s="45">
        <f t="shared" ref="H5" si="2">IF(G5=1,(F4+($G$2-D4)*E5),0)</f>
        <v>0</v>
      </c>
    </row>
    <row r="6" spans="1:8">
      <c r="A6" s="1">
        <v>4</v>
      </c>
      <c r="B6" s="1">
        <v>5000</v>
      </c>
      <c r="C6" s="117" t="s">
        <v>203</v>
      </c>
      <c r="D6" s="7"/>
      <c r="E6" s="118">
        <v>0.001</v>
      </c>
      <c r="F6" s="56"/>
      <c r="G6" s="8">
        <f>IF(AND($G$2&gt;B6),1,0)</f>
        <v>1</v>
      </c>
      <c r="H6" s="45">
        <f>IF(G6=1,(F5+($G$2-B6)*E6),0)</f>
        <v>18.98578</v>
      </c>
    </row>
  </sheetData>
  <mergeCells count="2">
    <mergeCell ref="A1:E1"/>
    <mergeCell ref="B2:D2"/>
  </mergeCell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S28"/>
  <sheetViews>
    <sheetView topLeftCell="A7" workbookViewId="0">
      <selection activeCell="D16" sqref="$A16:$XFD28"/>
    </sheetView>
  </sheetViews>
  <sheetFormatPr defaultColWidth="9" defaultRowHeight="14"/>
  <cols>
    <col min="1" max="1" width="19.3333333333333" customWidth="1"/>
    <col min="3" max="4" width="8.55833333333333" customWidth="1"/>
    <col min="12" max="12" width="13.8916666666667" customWidth="1"/>
    <col min="13" max="13" width="6.55833333333333" customWidth="1"/>
  </cols>
  <sheetData>
    <row r="1" spans="1:16">
      <c r="A1" s="59" t="s">
        <v>629</v>
      </c>
      <c r="B1" s="60"/>
      <c r="C1" s="61"/>
      <c r="D1" s="60"/>
      <c r="E1" s="62" t="s">
        <v>630</v>
      </c>
      <c r="F1" s="61"/>
      <c r="G1" s="62" t="s">
        <v>199</v>
      </c>
      <c r="H1" s="61"/>
      <c r="I1" s="62" t="s">
        <v>200</v>
      </c>
      <c r="J1" s="61"/>
      <c r="K1" s="62" t="s">
        <v>201</v>
      </c>
      <c r="L1" s="61"/>
      <c r="M1" s="62" t="s">
        <v>202</v>
      </c>
      <c r="N1" s="103"/>
      <c r="O1" s="104"/>
      <c r="P1" s="104"/>
    </row>
    <row r="2" ht="14.75" spans="1:16">
      <c r="A2" s="63" t="s">
        <v>631</v>
      </c>
      <c r="B2" s="64"/>
      <c r="C2" s="65"/>
      <c r="D2" s="64"/>
      <c r="E2" s="66">
        <v>600</v>
      </c>
      <c r="F2" s="67"/>
      <c r="G2" s="66">
        <v>600</v>
      </c>
      <c r="H2" s="67"/>
      <c r="I2" s="105">
        <f>其他费自动计算!C16</f>
        <v>498.307436</v>
      </c>
      <c r="J2" s="67"/>
      <c r="K2" s="105">
        <v>600</v>
      </c>
      <c r="L2" s="67"/>
      <c r="M2" s="66">
        <v>300</v>
      </c>
      <c r="N2" s="106"/>
      <c r="O2" s="104"/>
      <c r="P2" s="104"/>
    </row>
    <row r="3" spans="1:16">
      <c r="A3" s="68" t="s">
        <v>632</v>
      </c>
      <c r="B3" s="69">
        <v>100</v>
      </c>
      <c r="C3" s="69">
        <v>100</v>
      </c>
      <c r="D3" s="69"/>
      <c r="E3" s="70">
        <v>0.015</v>
      </c>
      <c r="F3" s="71">
        <f>IF(E$2&gt;=$B3,$C3*E3,E$2*E3)</f>
        <v>1.5</v>
      </c>
      <c r="G3" s="70">
        <v>0.015</v>
      </c>
      <c r="H3" s="72">
        <f>IF(G$2&gt;=$B3,$C3*G3,G$2*G3)</f>
        <v>1.5</v>
      </c>
      <c r="I3" s="70">
        <v>0.015</v>
      </c>
      <c r="J3" s="72">
        <f>IF(I$2&gt;=$B3,$C3*I3,I$2*I3)</f>
        <v>1.5</v>
      </c>
      <c r="K3" s="70">
        <v>0.015</v>
      </c>
      <c r="L3" s="72">
        <f>IF(K$2&gt;=$B3,$C3*K3,K$2*K3)</f>
        <v>1.5</v>
      </c>
      <c r="M3" s="70">
        <v>0.01</v>
      </c>
      <c r="N3" s="107">
        <f>IF(M$2&gt;=$B3,$C3*M3,M$2*M3)</f>
        <v>1</v>
      </c>
      <c r="O3" s="104"/>
      <c r="P3" s="104"/>
    </row>
    <row r="4" spans="1:16">
      <c r="A4" s="73" t="s">
        <v>633</v>
      </c>
      <c r="B4" s="74">
        <v>500</v>
      </c>
      <c r="C4" s="74">
        <v>400</v>
      </c>
      <c r="D4" s="74"/>
      <c r="E4" s="75">
        <v>0.011</v>
      </c>
      <c r="F4" s="76">
        <f>IF(E$2&lt;$B3,0,IF(E$2&gt;=$B4,$C4*E4,(E$2-$B3)*E4))</f>
        <v>4.4</v>
      </c>
      <c r="G4" s="75">
        <v>0.008</v>
      </c>
      <c r="H4" s="77">
        <f>IF(G$2&lt;$B3,0,IF(G$2&gt;=$B4,$C4*G4,(G$2-$B3)*G4))</f>
        <v>3.2</v>
      </c>
      <c r="I4" s="75">
        <v>0.008</v>
      </c>
      <c r="J4" s="77">
        <f>IF(I$2&lt;$B3,0,IF(I$2&gt;=$B4,$C4*I4,(I$2-$B3)*I4))</f>
        <v>3.186459488</v>
      </c>
      <c r="K4" s="75">
        <v>0.008</v>
      </c>
      <c r="L4" s="77">
        <f>IF(K$2&lt;$B3,0,IF(K$2&gt;=$B4,$C4*K4,(K$2-$B3)*K4))</f>
        <v>3.2</v>
      </c>
      <c r="M4" s="75">
        <v>0.007</v>
      </c>
      <c r="N4" s="108">
        <f>IF(M$2&lt;$B3,0,IF(M$2&gt;=$B4,$C4*M4,(M$2-$B3)*M4))</f>
        <v>1.4</v>
      </c>
      <c r="O4" s="104"/>
      <c r="P4" s="104"/>
    </row>
    <row r="5" spans="1:16">
      <c r="A5" s="73" t="s">
        <v>634</v>
      </c>
      <c r="B5" s="74">
        <v>1000</v>
      </c>
      <c r="C5" s="74">
        <v>500</v>
      </c>
      <c r="D5" s="74"/>
      <c r="E5" s="75">
        <v>0.008</v>
      </c>
      <c r="F5" s="76">
        <f>IF(E$2&lt;$B4,0,IF(E$2&gt;=$B5,$C5*E5,(E$2-$B4)*E5))</f>
        <v>0.8</v>
      </c>
      <c r="G5" s="75">
        <v>0.0045</v>
      </c>
      <c r="H5" s="77">
        <f>IF(G$2&lt;$B4,0,IF(G$2&gt;=$B5,$C5*G5,(G$2-$B4)*G5))</f>
        <v>0.45</v>
      </c>
      <c r="I5" s="75">
        <v>0.0045</v>
      </c>
      <c r="J5" s="77">
        <f>IF(I$2&lt;$B4,0,IF(I$2&gt;=$B5,$C5*I5,(I$2-$B4)*I5))</f>
        <v>0</v>
      </c>
      <c r="K5" s="75">
        <v>0.0045</v>
      </c>
      <c r="L5" s="77">
        <f>IF(K$2&lt;$B4,0,IF(K$2&gt;=$B5,$C5*K5,(K$2-$B4)*K5))</f>
        <v>0.45</v>
      </c>
      <c r="M5" s="75">
        <v>0.0055</v>
      </c>
      <c r="N5" s="108">
        <f>IF(M$2&lt;$B4,0,IF(M$2&gt;=$B5,$C5*M5,(M$2-$B4)*M5))</f>
        <v>0</v>
      </c>
      <c r="O5" s="104"/>
      <c r="P5" s="104"/>
    </row>
    <row r="6" spans="1:16">
      <c r="A6" s="73" t="s">
        <v>635</v>
      </c>
      <c r="B6" s="74">
        <v>5000</v>
      </c>
      <c r="C6" s="74">
        <v>4000</v>
      </c>
      <c r="D6" s="74"/>
      <c r="E6" s="75">
        <v>0.005</v>
      </c>
      <c r="F6" s="76">
        <f>IF(E$2&lt;$B5,0,IF(E$2&gt;=$B6,$C6*E6,(E$2-$B5)*E6))</f>
        <v>0</v>
      </c>
      <c r="G6" s="75">
        <v>0.0025</v>
      </c>
      <c r="H6" s="77">
        <f>IF(G$2&lt;$B5,0,IF(G$2&gt;=$B6,$C6*G6,(G$2-$B5)*G6))</f>
        <v>0</v>
      </c>
      <c r="I6" s="75">
        <v>0.0025</v>
      </c>
      <c r="J6" s="77">
        <f>IF(I$2&lt;$B5,0,IF(I$2&gt;=$B6,$C6*I6,(I$2-$B5)*I6))</f>
        <v>0</v>
      </c>
      <c r="K6" s="75">
        <v>0.0025</v>
      </c>
      <c r="L6" s="77">
        <f>IF(K$2&lt;$B5,0,IF(K$2&gt;=$B6,$C6*K6,(K$2-$B5)*K6))</f>
        <v>0</v>
      </c>
      <c r="M6" s="75">
        <v>0.0035</v>
      </c>
      <c r="N6" s="108">
        <f>IF(M$2&lt;$B5,0,IF(M$2&gt;=$B6,$C6*M6,(M$2-$B5)*M6))</f>
        <v>0</v>
      </c>
      <c r="O6" s="104"/>
      <c r="P6" s="104"/>
    </row>
    <row r="7" spans="1:16">
      <c r="A7" s="73" t="s">
        <v>636</v>
      </c>
      <c r="B7" s="74">
        <v>10000</v>
      </c>
      <c r="C7" s="74">
        <v>5000</v>
      </c>
      <c r="D7" s="74"/>
      <c r="E7" s="75">
        <v>0.0025</v>
      </c>
      <c r="F7" s="76">
        <f>IF(E$2&lt;$B6,0,IF(E$2&gt;=$B7,$C7*E7,(E$2-$B6)*E7))</f>
        <v>0</v>
      </c>
      <c r="G7" s="75">
        <v>0.001</v>
      </c>
      <c r="H7" s="77">
        <f>IF(G$2&lt;$B6,0,IF(G$2&gt;=$B7,$C7*G7,(G$2-$B6)*G7))</f>
        <v>0</v>
      </c>
      <c r="I7" s="75">
        <v>0.001</v>
      </c>
      <c r="J7" s="77">
        <f>IF(I$2&lt;$B6,0,IF(I$2&gt;=$B7,$C7*I7,(I$2-$B6)*I7))</f>
        <v>0</v>
      </c>
      <c r="K7" s="75">
        <v>0.001</v>
      </c>
      <c r="L7" s="77">
        <f>IF(K$2&lt;$B6,0,IF(K$2&gt;=$B7,$C7*K7,(K$2-$B6)*K7))</f>
        <v>0</v>
      </c>
      <c r="M7" s="75">
        <v>0.002</v>
      </c>
      <c r="N7" s="108">
        <f>IF(M$2&lt;$B6,0,IF(M$2&gt;=$B7,$C7*M7,(M$2-$B6)*M7))</f>
        <v>0</v>
      </c>
      <c r="O7" s="104"/>
      <c r="P7" s="104"/>
    </row>
    <row r="8" ht="14.75" spans="1:16">
      <c r="A8" s="73" t="s">
        <v>637</v>
      </c>
      <c r="B8" s="74">
        <v>100000</v>
      </c>
      <c r="C8" s="74">
        <v>90000</v>
      </c>
      <c r="D8" s="74"/>
      <c r="E8" s="75">
        <v>0.0005</v>
      </c>
      <c r="F8" s="76">
        <f>IF(E$2&lt;$B7,0,IF(E$2&gt;=$B8,$C8*E8,(E$2-$B7)*E8))</f>
        <v>0</v>
      </c>
      <c r="G8" s="75">
        <v>0.0005</v>
      </c>
      <c r="H8" s="77">
        <f>IF(G$2&lt;$B7,0,IF(G$2&gt;=$B8,$C8*G8,(G$2-$B7)*G8))</f>
        <v>0</v>
      </c>
      <c r="I8" s="75">
        <v>0.0005</v>
      </c>
      <c r="J8" s="77">
        <f>IF(I$2&lt;$B7,0,IF(I$2&gt;=$B8,$C8*I8,(I$2-$B7)*I8))</f>
        <v>0</v>
      </c>
      <c r="K8" s="75">
        <v>0.0005</v>
      </c>
      <c r="L8" s="77">
        <f>IF(K$2&lt;$B7,0,IF(K$2&gt;=$B8,$C8*K8,(K$2-$B7)*K8))</f>
        <v>0</v>
      </c>
      <c r="M8" s="75">
        <v>0.0005</v>
      </c>
      <c r="N8" s="108">
        <f>IF(M$2&lt;$B7,0,IF(M$2&gt;=$B8,$C8*M8,(M$2-$B7)*M8))</f>
        <v>0</v>
      </c>
      <c r="O8" s="104"/>
      <c r="P8" s="104"/>
    </row>
    <row r="9" spans="1:16">
      <c r="A9" s="73" t="s">
        <v>638</v>
      </c>
      <c r="B9" s="74"/>
      <c r="C9" s="74"/>
      <c r="D9" s="74"/>
      <c r="E9" s="75">
        <v>0.0001</v>
      </c>
      <c r="F9" s="76">
        <f>IF(E$2&lt;$B8,0,(E$2-$B8)*E9)</f>
        <v>0</v>
      </c>
      <c r="G9" s="75">
        <v>0.0001</v>
      </c>
      <c r="H9" s="77">
        <f>IF(G$2&lt;$B8,0,(G$2-$B8)*G9)</f>
        <v>0</v>
      </c>
      <c r="I9" s="75">
        <v>0.0001</v>
      </c>
      <c r="J9" s="77">
        <f>IF(I$2&lt;$B8,0,(I$2-$B8)*I9)</f>
        <v>0</v>
      </c>
      <c r="K9" s="75">
        <v>0.0001</v>
      </c>
      <c r="L9" s="77">
        <f>IF(K$2&lt;$B8,0,(K$2-$B8)*K9)</f>
        <v>0</v>
      </c>
      <c r="M9" s="75">
        <v>0.0001</v>
      </c>
      <c r="N9" s="109">
        <f>IF(M$2&lt;$B8,0,(M$2-$B8)*M9)</f>
        <v>0</v>
      </c>
      <c r="O9" s="110" t="s">
        <v>639</v>
      </c>
      <c r="P9" s="111"/>
    </row>
    <row r="10" ht="14.75" spans="1:16">
      <c r="A10" s="78" t="s">
        <v>640</v>
      </c>
      <c r="B10" s="79"/>
      <c r="C10" s="79"/>
      <c r="D10" s="80"/>
      <c r="E10" s="81">
        <f>SUM(F3:F9)</f>
        <v>6.7</v>
      </c>
      <c r="F10" s="82"/>
      <c r="G10" s="81">
        <f>SUM(H3:H9)</f>
        <v>5.15</v>
      </c>
      <c r="H10" s="82"/>
      <c r="I10" s="81">
        <f>SUM(J3:J9)</f>
        <v>4.686459488</v>
      </c>
      <c r="J10" s="82"/>
      <c r="K10" s="81">
        <f>SUM(L3:L9)</f>
        <v>5.15</v>
      </c>
      <c r="L10" s="82"/>
      <c r="M10" s="81">
        <f>SUM(N3:N9)</f>
        <v>2.4</v>
      </c>
      <c r="N10" s="112"/>
      <c r="O10" s="113">
        <f>+M10+K10+I10+G10+E10</f>
        <v>24.086459488</v>
      </c>
      <c r="P10" s="114"/>
    </row>
    <row r="11" spans="1:16">
      <c r="A11" s="83" t="s">
        <v>641</v>
      </c>
      <c r="B11" s="84"/>
      <c r="C11" s="84"/>
      <c r="D11" s="85"/>
      <c r="E11" s="86">
        <f>+E10*1.2</f>
        <v>8.04</v>
      </c>
      <c r="F11" s="87"/>
      <c r="G11" s="86">
        <f>+G10*1.2</f>
        <v>6.18</v>
      </c>
      <c r="H11" s="87"/>
      <c r="I11" s="86">
        <f>+I10*1.2</f>
        <v>5.6237513856</v>
      </c>
      <c r="J11" s="87"/>
      <c r="K11" s="86">
        <f>+K10*1.2</f>
        <v>6.18</v>
      </c>
      <c r="L11" s="87"/>
      <c r="M11" s="86">
        <f>+M10*1.2</f>
        <v>2.88</v>
      </c>
      <c r="N11" s="111"/>
      <c r="O11" s="104"/>
      <c r="P11" s="104"/>
    </row>
    <row r="12" ht="14.75" spans="1:16">
      <c r="A12" s="88" t="s">
        <v>642</v>
      </c>
      <c r="B12" s="89"/>
      <c r="C12" s="89"/>
      <c r="D12" s="90"/>
      <c r="E12" s="91">
        <f>+E10*0.8</f>
        <v>5.36</v>
      </c>
      <c r="F12" s="65"/>
      <c r="G12" s="91">
        <f>+G10*0.8</f>
        <v>4.12</v>
      </c>
      <c r="H12" s="65"/>
      <c r="I12" s="91">
        <f>+I10*0.8</f>
        <v>3.7491675904</v>
      </c>
      <c r="J12" s="65"/>
      <c r="K12" s="91">
        <f>+K10*0.8</f>
        <v>4.12</v>
      </c>
      <c r="L12" s="65"/>
      <c r="M12" s="91">
        <f>+M10*0.8</f>
        <v>1.92</v>
      </c>
      <c r="N12" s="115"/>
      <c r="O12" s="104"/>
      <c r="P12" s="104"/>
    </row>
    <row r="16" spans="1:18">
      <c r="A16" s="12" t="s">
        <v>191</v>
      </c>
      <c r="B16" s="13"/>
      <c r="C16" s="14"/>
      <c r="D16" s="1" t="s">
        <v>198</v>
      </c>
      <c r="E16" s="1"/>
      <c r="F16" s="1"/>
      <c r="G16" s="1" t="s">
        <v>199</v>
      </c>
      <c r="H16" s="1"/>
      <c r="I16" s="1"/>
      <c r="J16" s="1" t="s">
        <v>200</v>
      </c>
      <c r="K16" s="1"/>
      <c r="L16" s="1"/>
      <c r="M16" s="1" t="s">
        <v>201</v>
      </c>
      <c r="N16" s="1"/>
      <c r="O16" s="1"/>
      <c r="P16" s="1" t="s">
        <v>202</v>
      </c>
      <c r="Q16" s="1"/>
      <c r="R16" s="1"/>
    </row>
    <row r="17" spans="1:18">
      <c r="A17" s="92"/>
      <c r="B17" s="93"/>
      <c r="C17" s="94"/>
      <c r="D17" s="1">
        <v>600</v>
      </c>
      <c r="E17" s="1"/>
      <c r="F17" s="1"/>
      <c r="G17" s="1">
        <v>600</v>
      </c>
      <c r="H17" s="1"/>
      <c r="I17" s="1"/>
      <c r="J17" s="1">
        <v>100</v>
      </c>
      <c r="K17" s="1"/>
      <c r="L17" s="1"/>
      <c r="M17" s="1">
        <v>600</v>
      </c>
      <c r="N17" s="1"/>
      <c r="O17" s="1"/>
      <c r="P17" s="1">
        <v>300</v>
      </c>
      <c r="Q17" s="1"/>
      <c r="R17" s="1"/>
    </row>
    <row r="18" spans="1:18">
      <c r="A18" s="7"/>
      <c r="B18" s="1" t="s">
        <v>203</v>
      </c>
      <c r="C18" s="7">
        <v>100</v>
      </c>
      <c r="D18" s="7">
        <f>C18*E18</f>
        <v>1.5</v>
      </c>
      <c r="E18" s="95">
        <v>0.015</v>
      </c>
      <c r="F18" s="7">
        <f>IF(D17&lt;=C18,D17*E18,0)</f>
        <v>0</v>
      </c>
      <c r="G18" s="7">
        <f>C18*H18</f>
        <v>1.5</v>
      </c>
      <c r="H18" s="75">
        <v>0.015</v>
      </c>
      <c r="I18" s="7">
        <f>IF(H17&lt;=C18,H17*H18,0)</f>
        <v>0</v>
      </c>
      <c r="J18" s="7">
        <f>C18*K18</f>
        <v>1.5</v>
      </c>
      <c r="K18" s="75">
        <v>0.015</v>
      </c>
      <c r="L18" s="7">
        <f>IF(K17&lt;=C18,J17*K18,0)</f>
        <v>1.5</v>
      </c>
      <c r="M18" s="7">
        <f>C18*N18</f>
        <v>1.5</v>
      </c>
      <c r="N18" s="75">
        <v>0.015</v>
      </c>
      <c r="O18" s="7">
        <f>IF(M17&lt;=C18,M17*N18,0)</f>
        <v>0</v>
      </c>
      <c r="P18" s="7">
        <f>C18*Q18</f>
        <v>1</v>
      </c>
      <c r="Q18" s="75">
        <v>0.01</v>
      </c>
      <c r="R18" s="7">
        <f>IF(P17&lt;=C18,P17*Q18,0)</f>
        <v>0</v>
      </c>
    </row>
    <row r="19" spans="1:18">
      <c r="A19" s="7">
        <v>100</v>
      </c>
      <c r="B19" s="1" t="s">
        <v>196</v>
      </c>
      <c r="C19" s="7">
        <v>500</v>
      </c>
      <c r="D19" s="7">
        <f>D18+(C19-A19)*E19</f>
        <v>5.9</v>
      </c>
      <c r="E19" s="95">
        <v>0.011</v>
      </c>
      <c r="F19" s="7">
        <f t="shared" ref="F19:F26" si="0">IF(AND($D$17&gt;A19,$D$17&lt;C19),(D18+($D$17-C18)*E19),0)</f>
        <v>0</v>
      </c>
      <c r="G19" s="7">
        <f>G18+(C19-C18)*H19</f>
        <v>4.7</v>
      </c>
      <c r="H19" s="75">
        <v>0.008</v>
      </c>
      <c r="I19" s="7">
        <f>IF(AND($G$17&gt;A19,$G$17&lt;C19),(G18+($G$17-C18)*H19),0)</f>
        <v>0</v>
      </c>
      <c r="J19" s="7">
        <f>J18+(C19-A19)*K19</f>
        <v>4.7</v>
      </c>
      <c r="K19" s="75">
        <v>0.008</v>
      </c>
      <c r="L19" s="7">
        <f t="shared" ref="L19:L26" si="1">IF(AND($J$17&gt;A19,$J$17&lt;C19),(J18+($J$17-C18)*K19),0)</f>
        <v>0</v>
      </c>
      <c r="M19" s="7">
        <f>M18+(C19-C18)*N19</f>
        <v>4.7</v>
      </c>
      <c r="N19" s="75">
        <v>0.008</v>
      </c>
      <c r="O19" s="7">
        <f>IF(AND($M$17&gt;A19,$M$17&lt;C19),(M18+($M$17-C18)*N19),0)</f>
        <v>0</v>
      </c>
      <c r="P19" s="7">
        <f>P18+(C19-C18)*Q19</f>
        <v>3.8</v>
      </c>
      <c r="Q19" s="75">
        <v>0.007</v>
      </c>
      <c r="R19" s="7">
        <f>IF(AND($P$17&gt;A19,$P$17&lt;C19),(P18+($P$17-C18)*Q19),0)</f>
        <v>2.4</v>
      </c>
    </row>
    <row r="20" spans="1:18">
      <c r="A20" s="7">
        <v>500</v>
      </c>
      <c r="B20" s="1" t="s">
        <v>196</v>
      </c>
      <c r="C20" s="7">
        <v>1000</v>
      </c>
      <c r="D20" s="7">
        <f>D19+(C20-A20)*E20</f>
        <v>9.9</v>
      </c>
      <c r="E20" s="95">
        <v>0.008</v>
      </c>
      <c r="F20" s="7">
        <f t="shared" si="0"/>
        <v>6.7</v>
      </c>
      <c r="G20" s="7">
        <f t="shared" ref="G20:G26" si="2">G19+(C20-C19)*H20</f>
        <v>6.95</v>
      </c>
      <c r="H20" s="75">
        <v>0.0045</v>
      </c>
      <c r="I20" s="7">
        <f t="shared" ref="I20:I26" si="3">IF(AND($G$17&gt;A20,$G$17&lt;C20),(G19+($G$17-C19)*H20),0)</f>
        <v>5.15</v>
      </c>
      <c r="J20" s="7">
        <f t="shared" ref="J20:J26" si="4">J19+(C20-A20)*K20</f>
        <v>6.95</v>
      </c>
      <c r="K20" s="75">
        <v>0.0045</v>
      </c>
      <c r="L20" s="7">
        <f t="shared" si="1"/>
        <v>0</v>
      </c>
      <c r="M20" s="7">
        <f t="shared" ref="M20:M26" si="5">M19+(C20-C19)*N20</f>
        <v>6.95</v>
      </c>
      <c r="N20" s="75">
        <v>0.0045</v>
      </c>
      <c r="O20" s="7">
        <f t="shared" ref="O20:O26" si="6">IF(AND($M$17&gt;A20,$M$17&lt;C20),(M19+($M$17-C19)*N20),0)</f>
        <v>5.15</v>
      </c>
      <c r="P20" s="7">
        <f t="shared" ref="P20:P26" si="7">P19+(C20-C19)*Q20</f>
        <v>6.55</v>
      </c>
      <c r="Q20" s="75">
        <v>0.0055</v>
      </c>
      <c r="R20" s="7">
        <f t="shared" ref="R20:R26" si="8">IF(AND($P$17&gt;A20,$P$17&lt;C20),(P19+($P$17-C19)*Q20),0)</f>
        <v>0</v>
      </c>
    </row>
    <row r="21" spans="1:18">
      <c r="A21" s="7">
        <v>1000</v>
      </c>
      <c r="B21" s="1" t="s">
        <v>196</v>
      </c>
      <c r="C21" s="7">
        <v>5000</v>
      </c>
      <c r="D21" s="7">
        <f>D20+(C21-A21)*E21</f>
        <v>29.9</v>
      </c>
      <c r="E21" s="95">
        <v>0.005</v>
      </c>
      <c r="F21" s="7">
        <f t="shared" si="0"/>
        <v>0</v>
      </c>
      <c r="G21" s="7">
        <f t="shared" si="2"/>
        <v>16.95</v>
      </c>
      <c r="H21" s="75">
        <v>0.0025</v>
      </c>
      <c r="I21" s="7">
        <f t="shared" si="3"/>
        <v>0</v>
      </c>
      <c r="J21" s="7">
        <f t="shared" si="4"/>
        <v>16.95</v>
      </c>
      <c r="K21" s="75">
        <v>0.0025</v>
      </c>
      <c r="L21" s="7">
        <f t="shared" si="1"/>
        <v>0</v>
      </c>
      <c r="M21" s="7">
        <f t="shared" si="5"/>
        <v>16.95</v>
      </c>
      <c r="N21" s="75">
        <v>0.0025</v>
      </c>
      <c r="O21" s="7">
        <f t="shared" si="6"/>
        <v>0</v>
      </c>
      <c r="P21" s="7">
        <f t="shared" si="7"/>
        <v>20.55</v>
      </c>
      <c r="Q21" s="75">
        <v>0.0035</v>
      </c>
      <c r="R21" s="7">
        <f t="shared" si="8"/>
        <v>0</v>
      </c>
    </row>
    <row r="22" spans="1:18">
      <c r="A22" s="7">
        <v>5000</v>
      </c>
      <c r="B22" s="1" t="s">
        <v>196</v>
      </c>
      <c r="C22" s="7">
        <v>10000</v>
      </c>
      <c r="D22" s="7">
        <f t="shared" ref="D22:D26" si="9">D21+(C22-A22)*E22</f>
        <v>42.4</v>
      </c>
      <c r="E22" s="95">
        <v>0.0025</v>
      </c>
      <c r="F22" s="7">
        <f t="shared" si="0"/>
        <v>0</v>
      </c>
      <c r="G22" s="7">
        <f t="shared" si="2"/>
        <v>21.95</v>
      </c>
      <c r="H22" s="75">
        <v>0.001</v>
      </c>
      <c r="I22" s="7">
        <f t="shared" si="3"/>
        <v>0</v>
      </c>
      <c r="J22" s="7">
        <f t="shared" si="4"/>
        <v>21.95</v>
      </c>
      <c r="K22" s="75">
        <v>0.001</v>
      </c>
      <c r="L22" s="7">
        <f t="shared" si="1"/>
        <v>0</v>
      </c>
      <c r="M22" s="7">
        <f t="shared" si="5"/>
        <v>21.95</v>
      </c>
      <c r="N22" s="75">
        <v>0.001</v>
      </c>
      <c r="O22" s="7">
        <f t="shared" si="6"/>
        <v>0</v>
      </c>
      <c r="P22" s="7">
        <f t="shared" si="7"/>
        <v>30.55</v>
      </c>
      <c r="Q22" s="75">
        <v>0.002</v>
      </c>
      <c r="R22" s="7">
        <f t="shared" si="8"/>
        <v>0</v>
      </c>
    </row>
    <row r="23" spans="1:18">
      <c r="A23" s="7">
        <v>10000</v>
      </c>
      <c r="B23" s="1" t="s">
        <v>196</v>
      </c>
      <c r="C23" s="7">
        <v>50000</v>
      </c>
      <c r="D23" s="7">
        <f t="shared" si="9"/>
        <v>62.4</v>
      </c>
      <c r="E23" s="95">
        <v>0.0005</v>
      </c>
      <c r="F23" s="7">
        <f t="shared" si="0"/>
        <v>0</v>
      </c>
      <c r="G23" s="7">
        <f t="shared" si="2"/>
        <v>41.95</v>
      </c>
      <c r="H23" s="75">
        <v>0.0005</v>
      </c>
      <c r="I23" s="7">
        <f t="shared" si="3"/>
        <v>0</v>
      </c>
      <c r="J23" s="7">
        <f t="shared" si="4"/>
        <v>41.95</v>
      </c>
      <c r="K23" s="75">
        <v>0.0005</v>
      </c>
      <c r="L23" s="7">
        <f t="shared" si="1"/>
        <v>0</v>
      </c>
      <c r="M23" s="7">
        <f t="shared" si="5"/>
        <v>41.95</v>
      </c>
      <c r="N23" s="75">
        <v>0.0005</v>
      </c>
      <c r="O23" s="7">
        <f t="shared" si="6"/>
        <v>0</v>
      </c>
      <c r="P23" s="7">
        <f t="shared" si="7"/>
        <v>50.55</v>
      </c>
      <c r="Q23" s="75">
        <v>0.0005</v>
      </c>
      <c r="R23" s="7">
        <f t="shared" si="8"/>
        <v>0</v>
      </c>
    </row>
    <row r="24" spans="1:18">
      <c r="A24" s="7">
        <v>50000</v>
      </c>
      <c r="B24" s="1" t="s">
        <v>196</v>
      </c>
      <c r="C24" s="7">
        <v>100000</v>
      </c>
      <c r="D24" s="7">
        <f t="shared" si="9"/>
        <v>79.9</v>
      </c>
      <c r="E24" s="96">
        <v>0.00035</v>
      </c>
      <c r="F24" s="7">
        <f t="shared" si="0"/>
        <v>0</v>
      </c>
      <c r="G24" s="7">
        <f t="shared" si="2"/>
        <v>59.45</v>
      </c>
      <c r="H24" s="96">
        <v>0.00035</v>
      </c>
      <c r="I24" s="7">
        <f t="shared" si="3"/>
        <v>0</v>
      </c>
      <c r="J24" s="7">
        <f t="shared" si="4"/>
        <v>59.45</v>
      </c>
      <c r="K24" s="96">
        <v>0.00035</v>
      </c>
      <c r="L24" s="7">
        <f t="shared" si="1"/>
        <v>0</v>
      </c>
      <c r="M24" s="7">
        <f t="shared" si="5"/>
        <v>59.45</v>
      </c>
      <c r="N24" s="96">
        <v>0.00035</v>
      </c>
      <c r="O24" s="7">
        <f t="shared" si="6"/>
        <v>0</v>
      </c>
      <c r="P24" s="7">
        <f t="shared" si="7"/>
        <v>68.05</v>
      </c>
      <c r="Q24" s="96">
        <v>0.00035</v>
      </c>
      <c r="R24" s="7">
        <f t="shared" si="8"/>
        <v>0</v>
      </c>
    </row>
    <row r="25" spans="1:18">
      <c r="A25" s="7">
        <v>100000</v>
      </c>
      <c r="B25" s="1" t="s">
        <v>196</v>
      </c>
      <c r="C25" s="7">
        <v>500000</v>
      </c>
      <c r="D25" s="7">
        <f t="shared" si="9"/>
        <v>111.9</v>
      </c>
      <c r="E25" s="96">
        <v>8e-5</v>
      </c>
      <c r="F25" s="7">
        <f t="shared" si="0"/>
        <v>0</v>
      </c>
      <c r="G25" s="7">
        <f t="shared" si="2"/>
        <v>91.45</v>
      </c>
      <c r="H25" s="96">
        <v>8e-5</v>
      </c>
      <c r="I25" s="7">
        <f t="shared" si="3"/>
        <v>0</v>
      </c>
      <c r="J25" s="7">
        <f t="shared" si="4"/>
        <v>91.45</v>
      </c>
      <c r="K25" s="96">
        <v>8e-5</v>
      </c>
      <c r="L25" s="7">
        <f t="shared" si="1"/>
        <v>0</v>
      </c>
      <c r="M25" s="7">
        <f t="shared" si="5"/>
        <v>91.45</v>
      </c>
      <c r="N25" s="96">
        <v>8e-5</v>
      </c>
      <c r="O25" s="7">
        <f t="shared" si="6"/>
        <v>0</v>
      </c>
      <c r="P25" s="7">
        <f t="shared" si="7"/>
        <v>100.05</v>
      </c>
      <c r="Q25" s="96">
        <v>8e-5</v>
      </c>
      <c r="R25" s="7">
        <f t="shared" si="8"/>
        <v>0</v>
      </c>
    </row>
    <row r="26" spans="1:18">
      <c r="A26" s="7">
        <v>500000</v>
      </c>
      <c r="B26" s="1" t="s">
        <v>196</v>
      </c>
      <c r="C26" s="7">
        <v>1000000</v>
      </c>
      <c r="D26" s="7">
        <f t="shared" si="9"/>
        <v>141.9</v>
      </c>
      <c r="E26" s="96">
        <v>6e-5</v>
      </c>
      <c r="F26" s="7">
        <f t="shared" si="0"/>
        <v>0</v>
      </c>
      <c r="G26" s="7">
        <f t="shared" si="2"/>
        <v>121.45</v>
      </c>
      <c r="H26" s="96">
        <v>6e-5</v>
      </c>
      <c r="I26" s="7">
        <f t="shared" si="3"/>
        <v>0</v>
      </c>
      <c r="J26" s="7">
        <f t="shared" si="4"/>
        <v>121.45</v>
      </c>
      <c r="K26" s="96">
        <v>6e-5</v>
      </c>
      <c r="L26" s="7">
        <f t="shared" si="1"/>
        <v>0</v>
      </c>
      <c r="M26" s="7">
        <f t="shared" si="5"/>
        <v>121.45</v>
      </c>
      <c r="N26" s="96">
        <v>6e-5</v>
      </c>
      <c r="O26" s="7">
        <f t="shared" si="6"/>
        <v>0</v>
      </c>
      <c r="P26" s="7">
        <f t="shared" si="7"/>
        <v>130.05</v>
      </c>
      <c r="Q26" s="96">
        <v>6e-5</v>
      </c>
      <c r="R26" s="7">
        <f t="shared" si="8"/>
        <v>0</v>
      </c>
    </row>
    <row r="27" spans="1:19">
      <c r="A27" s="7">
        <v>1000000</v>
      </c>
      <c r="B27" s="1" t="s">
        <v>203</v>
      </c>
      <c r="C27" s="7"/>
      <c r="D27" s="7"/>
      <c r="E27" s="96">
        <v>4e-5</v>
      </c>
      <c r="F27" s="7">
        <f>IF(AND($D$17&gt;A27),(D26+($D$17-A27)*E27),0)</f>
        <v>0</v>
      </c>
      <c r="G27" s="7"/>
      <c r="H27" s="96">
        <v>4e-5</v>
      </c>
      <c r="I27" s="7">
        <f>IF(AND(G17&gt;A27),(G26+(G17-A27)*H27),0)</f>
        <v>0</v>
      </c>
      <c r="J27" s="7"/>
      <c r="K27" s="96">
        <v>4e-5</v>
      </c>
      <c r="L27" s="7">
        <f>IF(AND(J17&gt;A27),(J26+(J17-A27)*K27),0)</f>
        <v>0</v>
      </c>
      <c r="M27" s="7"/>
      <c r="N27" s="96">
        <v>4e-5</v>
      </c>
      <c r="O27" s="7">
        <f>IF(AND(M17&gt;A27),(M26+(M17-A27)*N27),0)</f>
        <v>0</v>
      </c>
      <c r="P27" s="7"/>
      <c r="Q27" s="96">
        <v>4e-5</v>
      </c>
      <c r="R27" s="7">
        <f>IF(AND(P17&gt;A27),(P26+(P17-A27)*Q27),0)</f>
        <v>0</v>
      </c>
      <c r="S27" s="1" t="s">
        <v>204</v>
      </c>
    </row>
    <row r="28" spans="1:19">
      <c r="A28" s="97" t="s">
        <v>205</v>
      </c>
      <c r="B28" s="98"/>
      <c r="C28" s="99"/>
      <c r="D28" s="100">
        <f>SUM(F18:F27)</f>
        <v>6.7</v>
      </c>
      <c r="E28" s="101"/>
      <c r="F28" s="102"/>
      <c r="G28" s="100">
        <f>SUM(I18:I27)</f>
        <v>5.15</v>
      </c>
      <c r="H28" s="101"/>
      <c r="I28" s="102"/>
      <c r="J28" s="100">
        <f>SUM(L18:L27)</f>
        <v>1.5</v>
      </c>
      <c r="K28" s="101"/>
      <c r="L28" s="102"/>
      <c r="M28" s="100">
        <f>SUM(O18:O27)</f>
        <v>5.15</v>
      </c>
      <c r="N28" s="101"/>
      <c r="O28" s="102"/>
      <c r="P28" s="100">
        <f>SUM(R18:R27)</f>
        <v>2.4</v>
      </c>
      <c r="Q28" s="101"/>
      <c r="R28" s="102"/>
      <c r="S28" s="45">
        <f>SUM(D28:Q28)</f>
        <v>20.9</v>
      </c>
    </row>
  </sheetData>
  <mergeCells count="46">
    <mergeCell ref="A1:C1"/>
    <mergeCell ref="E1:F1"/>
    <mergeCell ref="G1:H1"/>
    <mergeCell ref="I1:J1"/>
    <mergeCell ref="K1:L1"/>
    <mergeCell ref="M1:N1"/>
    <mergeCell ref="A2:C2"/>
    <mergeCell ref="E2:F2"/>
    <mergeCell ref="G2:H2"/>
    <mergeCell ref="I2:J2"/>
    <mergeCell ref="K2:L2"/>
    <mergeCell ref="M2:N2"/>
    <mergeCell ref="O9:P9"/>
    <mergeCell ref="E10:F10"/>
    <mergeCell ref="G10:H10"/>
    <mergeCell ref="I10:J10"/>
    <mergeCell ref="K10:L10"/>
    <mergeCell ref="M10:N10"/>
    <mergeCell ref="O10:P10"/>
    <mergeCell ref="E11:F11"/>
    <mergeCell ref="G11:H11"/>
    <mergeCell ref="I11:J11"/>
    <mergeCell ref="K11:L11"/>
    <mergeCell ref="M11:N11"/>
    <mergeCell ref="E12:F12"/>
    <mergeCell ref="G12:H12"/>
    <mergeCell ref="I12:J12"/>
    <mergeCell ref="K12:L12"/>
    <mergeCell ref="M12:N12"/>
    <mergeCell ref="D16:F16"/>
    <mergeCell ref="G16:I16"/>
    <mergeCell ref="J16:L16"/>
    <mergeCell ref="M16:O16"/>
    <mergeCell ref="P16:R16"/>
    <mergeCell ref="D17:F17"/>
    <mergeCell ref="G17:I17"/>
    <mergeCell ref="J17:L17"/>
    <mergeCell ref="M17:O17"/>
    <mergeCell ref="P17:R17"/>
    <mergeCell ref="A28:C28"/>
    <mergeCell ref="D28:F28"/>
    <mergeCell ref="G28:I28"/>
    <mergeCell ref="J28:L28"/>
    <mergeCell ref="M28:O28"/>
    <mergeCell ref="P28:R28"/>
    <mergeCell ref="A16:C17"/>
  </mergeCell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
  <sheetViews>
    <sheetView workbookViewId="0">
      <selection activeCell="I9" sqref="A1:I9"/>
    </sheetView>
  </sheetViews>
  <sheetFormatPr defaultColWidth="9" defaultRowHeight="14"/>
  <cols>
    <col min="5" max="5" width="7" customWidth="1"/>
    <col min="6" max="6" width="8" customWidth="1"/>
    <col min="7" max="7" width="13.8916666666667" customWidth="1"/>
  </cols>
  <sheetData>
    <row r="1" spans="1:8">
      <c r="A1" s="1" t="s">
        <v>228</v>
      </c>
      <c r="B1" s="1"/>
      <c r="C1" s="1"/>
      <c r="D1" s="1"/>
      <c r="E1" s="1"/>
      <c r="F1" s="1"/>
      <c r="G1" s="1" t="s">
        <v>628</v>
      </c>
      <c r="H1" s="1" t="s">
        <v>230</v>
      </c>
    </row>
    <row r="2" spans="1:8">
      <c r="A2" s="1" t="s">
        <v>0</v>
      </c>
      <c r="B2" s="1" t="s">
        <v>191</v>
      </c>
      <c r="C2" s="1"/>
      <c r="D2" s="1"/>
      <c r="E2" s="1" t="s">
        <v>231</v>
      </c>
      <c r="F2" s="1" t="s">
        <v>232</v>
      </c>
      <c r="G2" s="44">
        <f>其他费自动计算!C2</f>
        <v>17385.78</v>
      </c>
      <c r="H2" s="45">
        <f>SUM(H3:H9)</f>
        <v>127.166148</v>
      </c>
    </row>
    <row r="3" spans="1:9">
      <c r="A3" s="1">
        <v>1</v>
      </c>
      <c r="B3" s="1"/>
      <c r="C3" s="1" t="s">
        <v>195</v>
      </c>
      <c r="D3" s="1">
        <v>200</v>
      </c>
      <c r="E3" s="48">
        <v>0.0102</v>
      </c>
      <c r="F3" s="56">
        <f>E3*D3</f>
        <v>2.04</v>
      </c>
      <c r="G3" s="8">
        <f>IF($G$2&lt;=D3,1,0)</f>
        <v>0</v>
      </c>
      <c r="H3" s="45">
        <f>IF(G3=1,(G2*E3),0)</f>
        <v>0</v>
      </c>
      <c r="I3" s="47" t="s">
        <v>643</v>
      </c>
    </row>
    <row r="4" spans="1:9">
      <c r="A4" s="1">
        <v>2</v>
      </c>
      <c r="B4" s="1">
        <v>200</v>
      </c>
      <c r="C4" s="1" t="s">
        <v>196</v>
      </c>
      <c r="D4" s="1">
        <v>500</v>
      </c>
      <c r="E4" s="48">
        <v>0.0096</v>
      </c>
      <c r="F4" s="56">
        <f>F3+(D4-B4)*E4</f>
        <v>4.92</v>
      </c>
      <c r="G4" s="8">
        <f>IF(AND($G$2&lt;=D4,$G$2&gt;B4),1,0)</f>
        <v>0</v>
      </c>
      <c r="H4" s="45">
        <f>IF(G4=1,(F3+($G$2-D3)*E4),0)</f>
        <v>0</v>
      </c>
      <c r="I4" s="49"/>
    </row>
    <row r="5" spans="1:9">
      <c r="A5" s="1">
        <v>3</v>
      </c>
      <c r="B5" s="1">
        <v>500</v>
      </c>
      <c r="C5" s="1" t="s">
        <v>196</v>
      </c>
      <c r="D5" s="1">
        <v>1000</v>
      </c>
      <c r="E5" s="48">
        <v>0.009</v>
      </c>
      <c r="F5" s="56">
        <f t="shared" ref="F5:F8" si="0">F4+(D5-B5)*E5</f>
        <v>9.42</v>
      </c>
      <c r="G5" s="8">
        <f t="shared" ref="G5:G8" si="1">IF(AND($G$2&lt;=D5,$G$2&gt;B5),1,0)</f>
        <v>0</v>
      </c>
      <c r="H5" s="45">
        <f t="shared" ref="H5:H9" si="2">IF(G5=1,(F4+($G$2-D4)*E5),0)</f>
        <v>0</v>
      </c>
      <c r="I5" s="49"/>
    </row>
    <row r="6" spans="1:9">
      <c r="A6" s="1">
        <v>4</v>
      </c>
      <c r="B6" s="1">
        <v>1000</v>
      </c>
      <c r="C6" s="1" t="s">
        <v>196</v>
      </c>
      <c r="D6" s="1">
        <v>3000</v>
      </c>
      <c r="E6" s="48">
        <v>0.0084</v>
      </c>
      <c r="F6" s="56">
        <f t="shared" si="0"/>
        <v>26.22</v>
      </c>
      <c r="G6" s="8">
        <f t="shared" si="1"/>
        <v>0</v>
      </c>
      <c r="H6" s="45">
        <f t="shared" si="2"/>
        <v>0</v>
      </c>
      <c r="I6" s="49"/>
    </row>
    <row r="7" spans="1:9">
      <c r="A7" s="1">
        <v>5</v>
      </c>
      <c r="B7" s="1">
        <v>3000</v>
      </c>
      <c r="C7" s="1" t="s">
        <v>196</v>
      </c>
      <c r="D7" s="1">
        <v>6000</v>
      </c>
      <c r="E7" s="48">
        <v>0.0078</v>
      </c>
      <c r="F7" s="56">
        <f t="shared" si="0"/>
        <v>49.62</v>
      </c>
      <c r="G7" s="8">
        <f t="shared" si="1"/>
        <v>0</v>
      </c>
      <c r="H7" s="45">
        <f t="shared" si="2"/>
        <v>0</v>
      </c>
      <c r="I7" s="49"/>
    </row>
    <row r="8" spans="1:9">
      <c r="A8" s="1">
        <v>6</v>
      </c>
      <c r="B8" s="1">
        <v>6000</v>
      </c>
      <c r="C8" s="1" t="s">
        <v>196</v>
      </c>
      <c r="D8" s="1">
        <v>10000</v>
      </c>
      <c r="E8" s="48">
        <v>0.0072</v>
      </c>
      <c r="F8" s="56">
        <f t="shared" si="0"/>
        <v>78.42</v>
      </c>
      <c r="G8" s="8">
        <f t="shared" si="1"/>
        <v>0</v>
      </c>
      <c r="H8" s="45">
        <f t="shared" si="2"/>
        <v>0</v>
      </c>
      <c r="I8" s="50"/>
    </row>
    <row r="9" spans="1:8">
      <c r="A9" s="1">
        <v>7</v>
      </c>
      <c r="B9" s="9">
        <v>10000</v>
      </c>
      <c r="C9" s="57" t="s">
        <v>203</v>
      </c>
      <c r="E9" s="58">
        <v>0.0066</v>
      </c>
      <c r="F9" s="56"/>
      <c r="G9" s="8">
        <f>IF(AND($G$2&gt;B9),1,0)</f>
        <v>1</v>
      </c>
      <c r="H9" s="45">
        <f t="shared" si="2"/>
        <v>127.166148</v>
      </c>
    </row>
  </sheetData>
  <mergeCells count="3">
    <mergeCell ref="A1:E1"/>
    <mergeCell ref="B2:D2"/>
    <mergeCell ref="I3:I8"/>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B30" sqref="B30"/>
    </sheetView>
  </sheetViews>
  <sheetFormatPr defaultColWidth="9" defaultRowHeight="14" outlineLevelCol="4"/>
  <cols>
    <col min="4" max="4" width="11.6666666666667" customWidth="1"/>
    <col min="5" max="5" width="16.1083333333333" customWidth="1"/>
  </cols>
  <sheetData>
    <row r="1" spans="1:5">
      <c r="A1" s="7" t="s">
        <v>0</v>
      </c>
      <c r="B1" s="7" t="s">
        <v>234</v>
      </c>
      <c r="C1" s="7" t="s">
        <v>235</v>
      </c>
      <c r="D1" s="7" t="s">
        <v>573</v>
      </c>
      <c r="E1" s="7" t="s">
        <v>194</v>
      </c>
    </row>
    <row r="2" spans="1:5">
      <c r="A2" s="7"/>
      <c r="B2" s="7"/>
      <c r="C2" s="7"/>
      <c r="D2" s="51">
        <f>其他费自动计算!C2</f>
        <v>17385.78</v>
      </c>
      <c r="E2" s="52">
        <f>SUM(E3:E19)</f>
        <v>347.7034344</v>
      </c>
    </row>
    <row r="3" spans="1:5">
      <c r="A3" s="7">
        <v>1</v>
      </c>
      <c r="B3" s="7">
        <v>500</v>
      </c>
      <c r="C3" s="53">
        <v>16.5</v>
      </c>
      <c r="D3" s="8">
        <f>IF(D2&lt;=B3,1,0)</f>
        <v>0</v>
      </c>
      <c r="E3" s="45">
        <f>IF(D3=1,(C3/D2*B3),0)</f>
        <v>0</v>
      </c>
    </row>
    <row r="4" spans="1:5">
      <c r="A4" s="7">
        <v>2</v>
      </c>
      <c r="B4" s="7">
        <v>1000</v>
      </c>
      <c r="C4" s="53">
        <v>30.1</v>
      </c>
      <c r="D4" s="8">
        <f>IF(AND($D$2&lt;=B4,$D$2&gt;B3),1,0)</f>
        <v>0</v>
      </c>
      <c r="E4" s="45">
        <f>IF($D4=1,(C3+(C4-C3)/($B4-$B3)*($D$2-$B3)),0)</f>
        <v>0</v>
      </c>
    </row>
    <row r="5" spans="1:5">
      <c r="A5" s="7">
        <v>3</v>
      </c>
      <c r="B5" s="7">
        <v>3000</v>
      </c>
      <c r="C5" s="53">
        <v>78.1</v>
      </c>
      <c r="D5" s="8">
        <f t="shared" ref="D5:D18" si="0">IF(AND($D$2&lt;=B5,$D$2&gt;B4),1,0)</f>
        <v>0</v>
      </c>
      <c r="E5" s="45">
        <f t="shared" ref="E5:E18" si="1">IF($D5=1,(C4+(C5-C4)/($B5-$B4)*($D$2-$B4)),0)</f>
        <v>0</v>
      </c>
    </row>
    <row r="6" spans="1:5">
      <c r="A6" s="7">
        <v>4</v>
      </c>
      <c r="B6" s="7">
        <v>5000</v>
      </c>
      <c r="C6" s="53">
        <v>120.8</v>
      </c>
      <c r="D6" s="8">
        <f t="shared" si="0"/>
        <v>0</v>
      </c>
      <c r="E6" s="45">
        <f t="shared" si="1"/>
        <v>0</v>
      </c>
    </row>
    <row r="7" spans="1:5">
      <c r="A7" s="7">
        <v>5</v>
      </c>
      <c r="B7" s="7">
        <v>8000</v>
      </c>
      <c r="C7" s="53">
        <v>181</v>
      </c>
      <c r="D7" s="8">
        <f t="shared" si="0"/>
        <v>0</v>
      </c>
      <c r="E7" s="45">
        <f t="shared" si="1"/>
        <v>0</v>
      </c>
    </row>
    <row r="8" spans="1:5">
      <c r="A8" s="7">
        <v>6</v>
      </c>
      <c r="B8" s="7">
        <v>10000</v>
      </c>
      <c r="C8" s="53">
        <v>218.6</v>
      </c>
      <c r="D8" s="8">
        <f t="shared" si="0"/>
        <v>0</v>
      </c>
      <c r="E8" s="45">
        <f t="shared" si="1"/>
        <v>0</v>
      </c>
    </row>
    <row r="9" spans="1:5">
      <c r="A9" s="7">
        <v>7</v>
      </c>
      <c r="B9" s="7">
        <v>20000</v>
      </c>
      <c r="C9" s="53">
        <v>393.4</v>
      </c>
      <c r="D9" s="8">
        <f t="shared" si="0"/>
        <v>1</v>
      </c>
      <c r="E9" s="45">
        <f t="shared" si="1"/>
        <v>347.7034344</v>
      </c>
    </row>
    <row r="10" spans="1:5">
      <c r="A10" s="7">
        <v>8</v>
      </c>
      <c r="B10" s="7">
        <v>40000</v>
      </c>
      <c r="C10" s="53">
        <v>708.2</v>
      </c>
      <c r="D10" s="8">
        <f t="shared" si="0"/>
        <v>0</v>
      </c>
      <c r="E10" s="45">
        <f t="shared" si="1"/>
        <v>0</v>
      </c>
    </row>
    <row r="11" spans="1:5">
      <c r="A11" s="7">
        <v>9</v>
      </c>
      <c r="B11" s="7">
        <v>60000</v>
      </c>
      <c r="C11" s="53">
        <v>991.4</v>
      </c>
      <c r="D11" s="8">
        <f t="shared" si="0"/>
        <v>0</v>
      </c>
      <c r="E11" s="45">
        <f t="shared" si="1"/>
        <v>0</v>
      </c>
    </row>
    <row r="12" spans="1:5">
      <c r="A12" s="7">
        <v>10</v>
      </c>
      <c r="B12" s="7">
        <v>80000</v>
      </c>
      <c r="C12" s="53">
        <v>1255.8</v>
      </c>
      <c r="D12" s="8">
        <f t="shared" si="0"/>
        <v>0</v>
      </c>
      <c r="E12" s="45">
        <f t="shared" si="1"/>
        <v>0</v>
      </c>
    </row>
    <row r="13" spans="1:5">
      <c r="A13" s="7">
        <v>11</v>
      </c>
      <c r="B13" s="7">
        <v>100000</v>
      </c>
      <c r="C13" s="53">
        <v>1507</v>
      </c>
      <c r="D13" s="8">
        <f t="shared" si="0"/>
        <v>0</v>
      </c>
      <c r="E13" s="45">
        <f t="shared" si="1"/>
        <v>0</v>
      </c>
    </row>
    <row r="14" spans="1:5">
      <c r="A14" s="7">
        <v>12</v>
      </c>
      <c r="B14" s="7">
        <v>200000</v>
      </c>
      <c r="C14" s="53">
        <v>2712.5</v>
      </c>
      <c r="D14" s="8">
        <f t="shared" si="0"/>
        <v>0</v>
      </c>
      <c r="E14" s="45">
        <f t="shared" si="1"/>
        <v>0</v>
      </c>
    </row>
    <row r="15" spans="1:5">
      <c r="A15" s="7">
        <v>13</v>
      </c>
      <c r="B15" s="7">
        <v>400000</v>
      </c>
      <c r="C15" s="53">
        <v>4882.6</v>
      </c>
      <c r="D15" s="8">
        <f t="shared" si="0"/>
        <v>0</v>
      </c>
      <c r="E15" s="45">
        <f t="shared" si="1"/>
        <v>0</v>
      </c>
    </row>
    <row r="16" spans="1:5">
      <c r="A16" s="7">
        <v>14</v>
      </c>
      <c r="B16" s="7">
        <v>600000</v>
      </c>
      <c r="C16" s="53">
        <v>6835.6</v>
      </c>
      <c r="D16" s="8">
        <f t="shared" si="0"/>
        <v>0</v>
      </c>
      <c r="E16" s="45">
        <f t="shared" si="1"/>
        <v>0</v>
      </c>
    </row>
    <row r="17" spans="1:5">
      <c r="A17" s="7">
        <v>15</v>
      </c>
      <c r="B17" s="7">
        <v>800000</v>
      </c>
      <c r="C17" s="53">
        <v>8658.4</v>
      </c>
      <c r="D17" s="8">
        <f t="shared" si="0"/>
        <v>0</v>
      </c>
      <c r="E17" s="45">
        <f t="shared" si="1"/>
        <v>0</v>
      </c>
    </row>
    <row r="18" spans="1:5">
      <c r="A18" s="7">
        <v>16</v>
      </c>
      <c r="B18" s="7">
        <v>1000000</v>
      </c>
      <c r="C18" s="53">
        <v>10390.1</v>
      </c>
      <c r="D18" s="8">
        <f t="shared" si="0"/>
        <v>0</v>
      </c>
      <c r="E18" s="45">
        <f t="shared" si="1"/>
        <v>0</v>
      </c>
    </row>
    <row r="19" spans="1:5">
      <c r="A19" s="7">
        <v>16</v>
      </c>
      <c r="B19" s="7"/>
      <c r="C19" s="7"/>
      <c r="D19" s="54">
        <f>IF(D2&gt;B18,1,0)</f>
        <v>0</v>
      </c>
      <c r="E19" s="55">
        <f>IF(D19=1,D2*1.039%,0)</f>
        <v>0</v>
      </c>
    </row>
  </sheetData>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A1" sqref="A1:E21"/>
    </sheetView>
  </sheetViews>
  <sheetFormatPr defaultColWidth="9" defaultRowHeight="14" outlineLevelCol="4"/>
  <cols>
    <col min="4" max="4" width="11.6666666666667" customWidth="1"/>
    <col min="5" max="5" width="16.1083333333333" customWidth="1"/>
  </cols>
  <sheetData>
    <row r="1" spans="1:5">
      <c r="A1" s="7" t="s">
        <v>0</v>
      </c>
      <c r="B1" s="7" t="s">
        <v>234</v>
      </c>
      <c r="C1" s="7" t="s">
        <v>235</v>
      </c>
      <c r="D1" s="7" t="s">
        <v>573</v>
      </c>
      <c r="E1" s="7" t="s">
        <v>194</v>
      </c>
    </row>
    <row r="2" spans="1:5">
      <c r="A2" s="7"/>
      <c r="B2" s="7"/>
      <c r="C2" s="7"/>
      <c r="D2" s="7">
        <f>其他费自动计算!C2</f>
        <v>17385.78</v>
      </c>
      <c r="E2" s="52">
        <f>SUM(E3:E21)</f>
        <v>498.307436</v>
      </c>
    </row>
    <row r="3" spans="1:5">
      <c r="A3" s="7">
        <v>1</v>
      </c>
      <c r="B3" s="7">
        <v>200</v>
      </c>
      <c r="C3" s="53">
        <v>9</v>
      </c>
      <c r="D3" s="8">
        <f>IF(D2&lt;=B3,1,0)</f>
        <v>0</v>
      </c>
      <c r="E3" s="45">
        <f>IF(D3=1,(C3/D2*B3),0)</f>
        <v>0</v>
      </c>
    </row>
    <row r="4" spans="1:5">
      <c r="A4" s="7">
        <v>2</v>
      </c>
      <c r="B4" s="7">
        <v>500</v>
      </c>
      <c r="C4" s="53">
        <v>20.9</v>
      </c>
      <c r="D4" s="8">
        <f>IF(AND($D$2&lt;=B4,$D$2&gt;B3),1,0)</f>
        <v>0</v>
      </c>
      <c r="E4" s="45">
        <f>IF($D4=1,(C3+(C4-C3)/($B4-$B3)*($D$2-$B3)),0)</f>
        <v>0</v>
      </c>
    </row>
    <row r="5" spans="1:5">
      <c r="A5" s="7">
        <v>3</v>
      </c>
      <c r="B5" s="7">
        <v>1000</v>
      </c>
      <c r="C5" s="53">
        <v>38.8</v>
      </c>
      <c r="D5" s="8">
        <f t="shared" ref="D5:D20" si="0">IF(AND($D$2&lt;=B5,$D$2&gt;B4),1,0)</f>
        <v>0</v>
      </c>
      <c r="E5" s="45">
        <f t="shared" ref="E5:E20" si="1">IF($D5=1,(C4+(C5-C4)/($B5-$B4)*($D$2-$B4)),0)</f>
        <v>0</v>
      </c>
    </row>
    <row r="6" spans="1:5">
      <c r="A6" s="7">
        <v>4</v>
      </c>
      <c r="B6" s="7">
        <v>3000</v>
      </c>
      <c r="C6" s="53">
        <v>103.8</v>
      </c>
      <c r="D6" s="8">
        <f t="shared" si="0"/>
        <v>0</v>
      </c>
      <c r="E6" s="45">
        <f t="shared" si="1"/>
        <v>0</v>
      </c>
    </row>
    <row r="7" spans="1:5">
      <c r="A7" s="7">
        <v>5</v>
      </c>
      <c r="B7" s="7">
        <v>5000</v>
      </c>
      <c r="C7" s="53">
        <v>163.9</v>
      </c>
      <c r="D7" s="8">
        <f t="shared" si="0"/>
        <v>0</v>
      </c>
      <c r="E7" s="45">
        <f t="shared" si="1"/>
        <v>0</v>
      </c>
    </row>
    <row r="8" spans="1:5">
      <c r="A8" s="7">
        <v>6</v>
      </c>
      <c r="B8" s="7">
        <v>8000</v>
      </c>
      <c r="C8" s="53">
        <v>249.6</v>
      </c>
      <c r="D8" s="8">
        <f t="shared" si="0"/>
        <v>0</v>
      </c>
      <c r="E8" s="45">
        <f t="shared" si="1"/>
        <v>0</v>
      </c>
    </row>
    <row r="9" spans="1:5">
      <c r="A9" s="7">
        <v>7</v>
      </c>
      <c r="B9" s="7">
        <v>10000</v>
      </c>
      <c r="C9" s="53">
        <v>304.8</v>
      </c>
      <c r="D9" s="8">
        <f t="shared" si="0"/>
        <v>0</v>
      </c>
      <c r="E9" s="45">
        <f t="shared" si="1"/>
        <v>0</v>
      </c>
    </row>
    <row r="10" spans="1:5">
      <c r="A10" s="7">
        <v>8</v>
      </c>
      <c r="B10" s="7">
        <v>20000</v>
      </c>
      <c r="C10" s="53">
        <v>566.8</v>
      </c>
      <c r="D10" s="8">
        <f t="shared" si="0"/>
        <v>1</v>
      </c>
      <c r="E10" s="45">
        <f t="shared" si="1"/>
        <v>498.307436</v>
      </c>
    </row>
    <row r="11" spans="1:5">
      <c r="A11" s="7">
        <v>9</v>
      </c>
      <c r="B11" s="7">
        <v>40000</v>
      </c>
      <c r="C11" s="53">
        <v>1054</v>
      </c>
      <c r="D11" s="8">
        <f t="shared" si="0"/>
        <v>0</v>
      </c>
      <c r="E11" s="45">
        <f t="shared" si="1"/>
        <v>0</v>
      </c>
    </row>
    <row r="12" spans="1:5">
      <c r="A12" s="7">
        <v>10</v>
      </c>
      <c r="B12" s="7">
        <v>60000</v>
      </c>
      <c r="C12" s="53">
        <v>1515.2</v>
      </c>
      <c r="D12" s="8">
        <f t="shared" si="0"/>
        <v>0</v>
      </c>
      <c r="E12" s="45">
        <f t="shared" si="1"/>
        <v>0</v>
      </c>
    </row>
    <row r="13" spans="1:5">
      <c r="A13" s="7">
        <v>11</v>
      </c>
      <c r="B13" s="7">
        <v>80000</v>
      </c>
      <c r="C13" s="53">
        <v>1960.1</v>
      </c>
      <c r="D13" s="8">
        <f t="shared" si="0"/>
        <v>0</v>
      </c>
      <c r="E13" s="45">
        <f t="shared" si="1"/>
        <v>0</v>
      </c>
    </row>
    <row r="14" spans="1:5">
      <c r="A14" s="7">
        <v>12</v>
      </c>
      <c r="B14" s="7">
        <v>100000</v>
      </c>
      <c r="C14" s="53">
        <v>2393.4</v>
      </c>
      <c r="D14" s="8">
        <f t="shared" si="0"/>
        <v>0</v>
      </c>
      <c r="E14" s="45">
        <f t="shared" si="1"/>
        <v>0</v>
      </c>
    </row>
    <row r="15" spans="1:5">
      <c r="A15" s="7">
        <v>13</v>
      </c>
      <c r="B15" s="7">
        <v>200000</v>
      </c>
      <c r="C15" s="53">
        <v>4450.8</v>
      </c>
      <c r="D15" s="8">
        <f t="shared" si="0"/>
        <v>0</v>
      </c>
      <c r="E15" s="45">
        <f t="shared" si="1"/>
        <v>0</v>
      </c>
    </row>
    <row r="16" spans="1:5">
      <c r="A16" s="7">
        <v>14</v>
      </c>
      <c r="B16" s="7">
        <v>400000</v>
      </c>
      <c r="C16" s="53">
        <v>8276.7</v>
      </c>
      <c r="D16" s="8">
        <f t="shared" si="0"/>
        <v>0</v>
      </c>
      <c r="E16" s="45">
        <f t="shared" si="1"/>
        <v>0</v>
      </c>
    </row>
    <row r="17" spans="1:5">
      <c r="A17" s="7">
        <v>15</v>
      </c>
      <c r="B17" s="7">
        <v>600000</v>
      </c>
      <c r="C17" s="53">
        <v>11897.5</v>
      </c>
      <c r="D17" s="8">
        <f t="shared" si="0"/>
        <v>0</v>
      </c>
      <c r="E17" s="45">
        <f t="shared" si="1"/>
        <v>0</v>
      </c>
    </row>
    <row r="18" spans="1:5">
      <c r="A18" s="7">
        <v>16</v>
      </c>
      <c r="B18" s="7">
        <v>800000</v>
      </c>
      <c r="C18" s="53">
        <v>15391.4</v>
      </c>
      <c r="D18" s="8">
        <f t="shared" si="0"/>
        <v>0</v>
      </c>
      <c r="E18" s="45">
        <f t="shared" si="1"/>
        <v>0</v>
      </c>
    </row>
    <row r="19" spans="1:5">
      <c r="A19" s="7">
        <v>17</v>
      </c>
      <c r="B19" s="7">
        <v>1000000</v>
      </c>
      <c r="C19" s="53">
        <v>18793.8</v>
      </c>
      <c r="D19" s="8">
        <f t="shared" si="0"/>
        <v>0</v>
      </c>
      <c r="E19" s="45">
        <f t="shared" si="1"/>
        <v>0</v>
      </c>
    </row>
    <row r="20" spans="1:5">
      <c r="A20" s="7">
        <v>18</v>
      </c>
      <c r="B20" s="7">
        <v>2000000</v>
      </c>
      <c r="C20" s="53">
        <v>34948.9</v>
      </c>
      <c r="D20" s="8">
        <f t="shared" si="0"/>
        <v>0</v>
      </c>
      <c r="E20" s="45">
        <f t="shared" si="1"/>
        <v>0</v>
      </c>
    </row>
    <row r="21" spans="1:5">
      <c r="A21" s="7">
        <v>19</v>
      </c>
      <c r="B21" s="7"/>
      <c r="C21" s="7"/>
      <c r="D21" s="54">
        <f>IF(D2&gt;B20,1,0)</f>
        <v>0</v>
      </c>
      <c r="E21" s="55">
        <f>IF(D21=1,D2*1.6%,0)</f>
        <v>0</v>
      </c>
    </row>
  </sheetData>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topLeftCell="E1" workbookViewId="0">
      <selection activeCell="N12" sqref="F3:N12"/>
    </sheetView>
  </sheetViews>
  <sheetFormatPr defaultColWidth="9" defaultRowHeight="14"/>
  <cols>
    <col min="1" max="1" width="89.8916666666667" customWidth="1"/>
    <col min="3" max="3" width="11.6666666666667" customWidth="1"/>
    <col min="4" max="4" width="34.6666666666667" customWidth="1"/>
    <col min="6" max="6" width="5.55833333333333" customWidth="1"/>
    <col min="8" max="8" width="2.89166666666667" customWidth="1"/>
    <col min="9" max="9" width="7.55833333333333" customWidth="1"/>
    <col min="10" max="10" width="6" customWidth="1"/>
    <col min="11" max="11" width="5.55833333333333" customWidth="1"/>
    <col min="12" max="12" width="13.8916666666667" customWidth="1"/>
    <col min="13" max="13" width="16.1083333333333" customWidth="1"/>
    <col min="14" max="14" width="3.55833333333333" customWidth="1"/>
  </cols>
  <sheetData>
    <row r="1" spans="1:4">
      <c r="A1" s="12" t="s">
        <v>644</v>
      </c>
      <c r="B1" s="13"/>
      <c r="C1" s="13"/>
      <c r="D1" s="14"/>
    </row>
    <row r="2" spans="1:4">
      <c r="A2" s="15" t="s">
        <v>486</v>
      </c>
      <c r="B2" s="6"/>
      <c r="C2" s="6"/>
      <c r="D2" s="16"/>
    </row>
    <row r="3" ht="27.6" customHeight="1" spans="1:13">
      <c r="A3" s="17" t="s">
        <v>645</v>
      </c>
      <c r="B3" s="18"/>
      <c r="C3" s="18"/>
      <c r="D3" s="19"/>
      <c r="F3" s="1" t="s">
        <v>228</v>
      </c>
      <c r="G3" s="1"/>
      <c r="H3" s="1"/>
      <c r="I3" s="1"/>
      <c r="J3" s="1"/>
      <c r="K3" s="1"/>
      <c r="L3" s="1" t="s">
        <v>628</v>
      </c>
      <c r="M3" s="1" t="s">
        <v>230</v>
      </c>
    </row>
    <row r="4" ht="31.2" customHeight="1" spans="1:13">
      <c r="A4" s="17" t="s">
        <v>646</v>
      </c>
      <c r="B4" s="18"/>
      <c r="C4" s="18"/>
      <c r="D4" s="19"/>
      <c r="F4" s="1" t="s">
        <v>0</v>
      </c>
      <c r="G4" s="1" t="s">
        <v>191</v>
      </c>
      <c r="H4" s="1"/>
      <c r="I4" s="1"/>
      <c r="J4" s="1" t="s">
        <v>231</v>
      </c>
      <c r="K4" s="1" t="s">
        <v>232</v>
      </c>
      <c r="L4" s="44">
        <f>其他费自动计算!C2</f>
        <v>17385.78</v>
      </c>
      <c r="M4" s="45">
        <f>SUM(M5:M10)</f>
        <v>193.8578</v>
      </c>
    </row>
    <row r="5" spans="1:14">
      <c r="A5" s="20" t="s">
        <v>647</v>
      </c>
      <c r="B5" s="21"/>
      <c r="C5" s="21"/>
      <c r="D5" s="22"/>
      <c r="F5" s="1">
        <v>1</v>
      </c>
      <c r="G5" s="1"/>
      <c r="H5" s="1" t="s">
        <v>195</v>
      </c>
      <c r="I5" s="1">
        <v>1000</v>
      </c>
      <c r="J5" s="46">
        <v>0.02</v>
      </c>
      <c r="K5" s="1">
        <f>J5*I5</f>
        <v>20</v>
      </c>
      <c r="L5" s="8">
        <f>IF($L$4&lt;=I5,1,0)</f>
        <v>0</v>
      </c>
      <c r="M5" s="45">
        <f>IF(L5=1,(L4*J5),0)</f>
        <v>0</v>
      </c>
      <c r="N5" s="47" t="s">
        <v>643</v>
      </c>
    </row>
    <row r="6" spans="1:14">
      <c r="A6" s="20" t="s">
        <v>648</v>
      </c>
      <c r="B6" s="21"/>
      <c r="C6" s="21"/>
      <c r="D6" s="22"/>
      <c r="F6" s="1">
        <v>2</v>
      </c>
      <c r="G6" s="1">
        <v>1001</v>
      </c>
      <c r="H6" s="1" t="s">
        <v>196</v>
      </c>
      <c r="I6" s="1">
        <v>5000</v>
      </c>
      <c r="J6" s="48">
        <v>0.015</v>
      </c>
      <c r="K6" s="1">
        <f t="shared" ref="K6:K9" si="0">J6*I6</f>
        <v>75</v>
      </c>
      <c r="L6" s="8">
        <f>IF(AND($L$4&lt;=I6,$L$4&gt;G6),1,0)</f>
        <v>0</v>
      </c>
      <c r="M6" s="45">
        <f>IF(L6=1,(K5+($L$4-I5)*J6),0)</f>
        <v>0</v>
      </c>
      <c r="N6" s="49"/>
    </row>
    <row r="7" spans="1:14">
      <c r="A7" s="23" t="s">
        <v>649</v>
      </c>
      <c r="B7" s="24"/>
      <c r="C7" s="24"/>
      <c r="D7" s="25"/>
      <c r="F7" s="1">
        <v>3</v>
      </c>
      <c r="G7" s="1">
        <v>5001</v>
      </c>
      <c r="H7" s="1" t="s">
        <v>196</v>
      </c>
      <c r="I7" s="1">
        <v>10000</v>
      </c>
      <c r="J7" s="48">
        <v>0.012</v>
      </c>
      <c r="K7" s="1">
        <f t="shared" si="0"/>
        <v>120</v>
      </c>
      <c r="L7" s="8">
        <f>IF(AND($L$4&lt;=I7,$L$4&gt;G7),1,0)</f>
        <v>0</v>
      </c>
      <c r="M7" s="45">
        <f>IF(L7=1,(K6+($L$4-I6)*J7),0)</f>
        <v>0</v>
      </c>
      <c r="N7" s="49"/>
    </row>
    <row r="8" spans="1:14">
      <c r="A8" s="26">
        <v>42557</v>
      </c>
      <c r="B8" s="27"/>
      <c r="C8" s="27"/>
      <c r="D8" s="28"/>
      <c r="F8" s="1">
        <v>4</v>
      </c>
      <c r="G8" s="1">
        <v>10001</v>
      </c>
      <c r="H8" s="1" t="s">
        <v>196</v>
      </c>
      <c r="I8" s="1">
        <v>50000</v>
      </c>
      <c r="J8" s="46">
        <v>0.01</v>
      </c>
      <c r="K8" s="1">
        <f t="shared" si="0"/>
        <v>500</v>
      </c>
      <c r="L8" s="8">
        <f>IF(AND($L$4&lt;=I8,$L$4&gt;G8),1,0)</f>
        <v>1</v>
      </c>
      <c r="M8" s="45">
        <f>IF(L8=1,(K7+($L$4-I7)*J8),0)</f>
        <v>193.8578</v>
      </c>
      <c r="N8" s="49"/>
    </row>
    <row r="9" spans="1:14">
      <c r="A9" s="29" t="s">
        <v>650</v>
      </c>
      <c r="B9" s="30"/>
      <c r="C9" s="30"/>
      <c r="D9" s="31"/>
      <c r="F9" s="1">
        <v>5</v>
      </c>
      <c r="G9" s="1">
        <v>50001</v>
      </c>
      <c r="H9" s="1" t="s">
        <v>196</v>
      </c>
      <c r="I9" s="1">
        <v>100000</v>
      </c>
      <c r="J9" s="48">
        <v>0.008</v>
      </c>
      <c r="K9" s="1">
        <f t="shared" si="0"/>
        <v>800</v>
      </c>
      <c r="L9" s="8">
        <f>IF(AND($L$4&lt;=I9,$L$4&gt;G9),1,0)</f>
        <v>0</v>
      </c>
      <c r="M9" s="45">
        <f>IF(L9=1,(K8+($L$4-I8)*J9),0)</f>
        <v>0</v>
      </c>
      <c r="N9" s="49"/>
    </row>
    <row r="10" spans="1:14">
      <c r="A10" s="32" t="s">
        <v>651</v>
      </c>
      <c r="B10" s="33"/>
      <c r="C10" s="33"/>
      <c r="D10" s="34"/>
      <c r="F10" s="1">
        <v>6</v>
      </c>
      <c r="G10" s="1">
        <v>100000</v>
      </c>
      <c r="H10" s="1" t="s">
        <v>203</v>
      </c>
      <c r="I10" s="1"/>
      <c r="J10" s="48">
        <v>0.004</v>
      </c>
      <c r="K10" s="1"/>
      <c r="L10" s="8">
        <f>IF(AND($L$4&gt;G10),1,0)</f>
        <v>0</v>
      </c>
      <c r="M10" s="45">
        <f>IF(L10=1,(K9+($L$4-I9)*J10),0)</f>
        <v>0</v>
      </c>
      <c r="N10" s="50"/>
    </row>
    <row r="11" spans="1:4">
      <c r="A11" s="35" t="s">
        <v>652</v>
      </c>
      <c r="B11" s="36"/>
      <c r="C11" s="36"/>
      <c r="D11" s="37"/>
    </row>
    <row r="12" ht="29.4" customHeight="1" spans="1:12">
      <c r="A12" s="35" t="s">
        <v>653</v>
      </c>
      <c r="B12" s="36"/>
      <c r="C12" s="36"/>
      <c r="D12" s="37"/>
      <c r="L12" s="51" t="s">
        <v>654</v>
      </c>
    </row>
    <row r="13" ht="30.6" customHeight="1" spans="1:4">
      <c r="A13" s="35" t="s">
        <v>655</v>
      </c>
      <c r="B13" s="36"/>
      <c r="C13" s="36"/>
      <c r="D13" s="37"/>
    </row>
    <row r="14" ht="31.8" customHeight="1" spans="1:4">
      <c r="A14" s="35" t="s">
        <v>656</v>
      </c>
      <c r="B14" s="36"/>
      <c r="C14" s="36"/>
      <c r="D14" s="37"/>
    </row>
    <row r="15" spans="1:4">
      <c r="A15" s="35" t="s">
        <v>657</v>
      </c>
      <c r="B15" s="36"/>
      <c r="C15" s="36"/>
      <c r="D15" s="37"/>
    </row>
    <row r="16" spans="1:4">
      <c r="A16" s="35" t="s">
        <v>658</v>
      </c>
      <c r="B16" s="36"/>
      <c r="C16" s="36"/>
      <c r="D16" s="37"/>
    </row>
    <row r="17" spans="1:4">
      <c r="A17" s="35" t="s">
        <v>659</v>
      </c>
      <c r="B17" s="36"/>
      <c r="C17" s="36"/>
      <c r="D17" s="37"/>
    </row>
    <row r="18" spans="1:4">
      <c r="A18" s="35" t="s">
        <v>660</v>
      </c>
      <c r="B18" s="36"/>
      <c r="C18" s="36"/>
      <c r="D18" s="37"/>
    </row>
    <row r="19" spans="1:4">
      <c r="A19" s="35" t="s">
        <v>661</v>
      </c>
      <c r="B19" s="36"/>
      <c r="C19" s="36"/>
      <c r="D19" s="37"/>
    </row>
    <row r="20" ht="16.2" customHeight="1" spans="1:4">
      <c r="A20" s="35" t="s">
        <v>662</v>
      </c>
      <c r="B20" s="36"/>
      <c r="C20" s="36"/>
      <c r="D20" s="37"/>
    </row>
    <row r="21" spans="1:4">
      <c r="A21" s="35" t="s">
        <v>663</v>
      </c>
      <c r="B21" s="36"/>
      <c r="C21" s="36"/>
      <c r="D21" s="37"/>
    </row>
    <row r="22" spans="1:4">
      <c r="A22" s="35" t="s">
        <v>664</v>
      </c>
      <c r="B22" s="36"/>
      <c r="C22" s="36"/>
      <c r="D22" s="37"/>
    </row>
    <row r="23" spans="1:4">
      <c r="A23" s="35" t="s">
        <v>665</v>
      </c>
      <c r="B23" s="36"/>
      <c r="C23" s="36"/>
      <c r="D23" s="37"/>
    </row>
    <row r="24" spans="1:4">
      <c r="A24" s="35" t="s">
        <v>666</v>
      </c>
      <c r="B24" s="36"/>
      <c r="C24" s="36"/>
      <c r="D24" s="37"/>
    </row>
    <row r="25" spans="1:4">
      <c r="A25" s="35" t="s">
        <v>667</v>
      </c>
      <c r="B25" s="36"/>
      <c r="C25" s="36"/>
      <c r="D25" s="37"/>
    </row>
    <row r="26" ht="40.8" customHeight="1" spans="1:4">
      <c r="A26" s="35" t="s">
        <v>668</v>
      </c>
      <c r="B26" s="36"/>
      <c r="C26" s="36"/>
      <c r="D26" s="37"/>
    </row>
    <row r="27" spans="1:4">
      <c r="A27" s="35" t="s">
        <v>669</v>
      </c>
      <c r="B27" s="36"/>
      <c r="C27" s="36"/>
      <c r="D27" s="37"/>
    </row>
    <row r="28" ht="28.2" customHeight="1" spans="1:4">
      <c r="A28" s="35" t="s">
        <v>670</v>
      </c>
      <c r="B28" s="36"/>
      <c r="C28" s="36"/>
      <c r="D28" s="37"/>
    </row>
    <row r="29" ht="29.4" customHeight="1" spans="1:4">
      <c r="A29" s="35" t="s">
        <v>671</v>
      </c>
      <c r="B29" s="36"/>
      <c r="C29" s="36"/>
      <c r="D29" s="37"/>
    </row>
    <row r="30" ht="28.2" customHeight="1" spans="1:4">
      <c r="A30" s="35" t="s">
        <v>672</v>
      </c>
      <c r="B30" s="36"/>
      <c r="C30" s="36"/>
      <c r="D30" s="37"/>
    </row>
    <row r="31" ht="28.2" customHeight="1" spans="1:4">
      <c r="A31" s="35" t="s">
        <v>673</v>
      </c>
      <c r="B31" s="36"/>
      <c r="C31" s="36"/>
      <c r="D31" s="37"/>
    </row>
    <row r="32" ht="28.8" customHeight="1" spans="1:4">
      <c r="A32" s="35" t="s">
        <v>674</v>
      </c>
      <c r="B32" s="36"/>
      <c r="C32" s="36"/>
      <c r="D32" s="37"/>
    </row>
    <row r="33" ht="16.2" customHeight="1" spans="1:4">
      <c r="A33" s="35" t="s">
        <v>675</v>
      </c>
      <c r="B33" s="36"/>
      <c r="C33" s="36"/>
      <c r="D33" s="37"/>
    </row>
    <row r="34" ht="28.8" customHeight="1" spans="1:4">
      <c r="A34" s="35" t="s">
        <v>676</v>
      </c>
      <c r="B34" s="36"/>
      <c r="C34" s="36"/>
      <c r="D34" s="37"/>
    </row>
    <row r="35" ht="40.8" customHeight="1" spans="1:4">
      <c r="A35" s="35" t="s">
        <v>677</v>
      </c>
      <c r="B35" s="36"/>
      <c r="C35" s="36"/>
      <c r="D35" s="37"/>
    </row>
    <row r="36" spans="1:4">
      <c r="A36" s="35" t="s">
        <v>678</v>
      </c>
      <c r="B36" s="36"/>
      <c r="C36" s="36"/>
      <c r="D36" s="37"/>
    </row>
    <row r="37" ht="27.6" customHeight="1" spans="1:4">
      <c r="A37" s="35" t="s">
        <v>679</v>
      </c>
      <c r="B37" s="36"/>
      <c r="C37" s="36"/>
      <c r="D37" s="37"/>
    </row>
    <row r="38" spans="1:4">
      <c r="A38" s="35" t="s">
        <v>680</v>
      </c>
      <c r="B38" s="36"/>
      <c r="C38" s="36"/>
      <c r="D38" s="37"/>
    </row>
    <row r="39" ht="28.2" customHeight="1" spans="1:4">
      <c r="A39" s="35" t="s">
        <v>681</v>
      </c>
      <c r="B39" s="36"/>
      <c r="C39" s="36"/>
      <c r="D39" s="37"/>
    </row>
    <row r="40" ht="18" customHeight="1" spans="1:4">
      <c r="A40" s="38" t="s">
        <v>682</v>
      </c>
      <c r="B40" s="39"/>
      <c r="C40" s="39"/>
      <c r="D40" s="40"/>
    </row>
    <row r="41" spans="1:4">
      <c r="A41" s="41" t="s">
        <v>683</v>
      </c>
      <c r="B41" s="41"/>
      <c r="C41" s="41"/>
      <c r="D41" s="41"/>
    </row>
    <row r="42" spans="1:4">
      <c r="A42" s="42" t="s">
        <v>684</v>
      </c>
      <c r="B42" s="42"/>
      <c r="C42" s="42"/>
      <c r="D42" s="42"/>
    </row>
    <row r="43" spans="1:4">
      <c r="A43" s="43" t="s">
        <v>20</v>
      </c>
      <c r="B43" s="43"/>
      <c r="C43" s="43"/>
      <c r="D43" s="43"/>
    </row>
    <row r="44" spans="1:4">
      <c r="A44" s="1" t="s">
        <v>685</v>
      </c>
      <c r="B44" s="1" t="s">
        <v>231</v>
      </c>
      <c r="C44" s="1" t="s">
        <v>686</v>
      </c>
      <c r="D44" s="1"/>
    </row>
    <row r="45" spans="1:4">
      <c r="A45" s="1"/>
      <c r="B45" s="1"/>
      <c r="C45" s="7" t="s">
        <v>685</v>
      </c>
      <c r="D45" s="7" t="s">
        <v>687</v>
      </c>
    </row>
    <row r="46" spans="1:4">
      <c r="A46" s="7" t="s">
        <v>688</v>
      </c>
      <c r="B46" s="7">
        <v>2</v>
      </c>
      <c r="C46" s="7">
        <v>1000</v>
      </c>
      <c r="D46" s="7" t="s">
        <v>689</v>
      </c>
    </row>
    <row r="47" spans="1:4">
      <c r="A47" s="7" t="s">
        <v>690</v>
      </c>
      <c r="B47" s="7">
        <v>1.5</v>
      </c>
      <c r="C47" s="7">
        <v>5000</v>
      </c>
      <c r="D47" s="7" t="s">
        <v>691</v>
      </c>
    </row>
    <row r="48" spans="1:4">
      <c r="A48" s="7" t="s">
        <v>692</v>
      </c>
      <c r="B48" s="7">
        <v>1.2</v>
      </c>
      <c r="C48" s="7">
        <v>10000</v>
      </c>
      <c r="D48" s="7" t="s">
        <v>693</v>
      </c>
    </row>
    <row r="49" spans="1:4">
      <c r="A49" s="7" t="s">
        <v>694</v>
      </c>
      <c r="B49" s="7">
        <v>1</v>
      </c>
      <c r="C49" s="7">
        <v>50000</v>
      </c>
      <c r="D49" s="7" t="s">
        <v>695</v>
      </c>
    </row>
    <row r="50" spans="1:4">
      <c r="A50" s="7" t="s">
        <v>696</v>
      </c>
      <c r="B50" s="7">
        <v>0.8</v>
      </c>
      <c r="C50" s="7">
        <v>100000</v>
      </c>
      <c r="D50" s="7" t="s">
        <v>697</v>
      </c>
    </row>
    <row r="51" spans="1:4">
      <c r="A51" s="7" t="s">
        <v>638</v>
      </c>
      <c r="B51" s="7">
        <v>0.4</v>
      </c>
      <c r="C51" s="7">
        <v>200000</v>
      </c>
      <c r="D51" s="7" t="s">
        <v>698</v>
      </c>
    </row>
    <row r="53" spans="1:1">
      <c r="A53" t="s">
        <v>699</v>
      </c>
    </row>
  </sheetData>
  <mergeCells count="49">
    <mergeCell ref="A1:D1"/>
    <mergeCell ref="A2:D2"/>
    <mergeCell ref="A3:D3"/>
    <mergeCell ref="F3:K3"/>
    <mergeCell ref="A4:D4"/>
    <mergeCell ref="G4:I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C44:D44"/>
    <mergeCell ref="A44:A45"/>
    <mergeCell ref="B44:B45"/>
    <mergeCell ref="N5:N10"/>
  </mergeCell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workbookViewId="0">
      <selection activeCell="H3" sqref="H3"/>
    </sheetView>
  </sheetViews>
  <sheetFormatPr defaultColWidth="9" defaultRowHeight="14"/>
  <cols>
    <col min="1" max="1" width="62.3333333333333" customWidth="1"/>
  </cols>
  <sheetData>
    <row r="1" spans="1:1">
      <c r="A1" s="11" t="s">
        <v>700</v>
      </c>
    </row>
    <row r="2" ht="28" spans="1:1">
      <c r="A2" s="11" t="s">
        <v>701</v>
      </c>
    </row>
    <row r="3" ht="56" spans="1:1">
      <c r="A3" s="11" t="s">
        <v>702</v>
      </c>
    </row>
    <row r="4" ht="28" spans="1:1">
      <c r="A4" s="11" t="s">
        <v>703</v>
      </c>
    </row>
    <row r="5" spans="1:1">
      <c r="A5" s="11" t="s">
        <v>704</v>
      </c>
    </row>
    <row r="6" ht="28" spans="1:1">
      <c r="A6" s="11" t="s">
        <v>705</v>
      </c>
    </row>
    <row r="7" spans="1:1">
      <c r="A7" s="11" t="s">
        <v>706</v>
      </c>
    </row>
    <row r="8" ht="28" spans="1:1">
      <c r="A8" s="11" t="s">
        <v>707</v>
      </c>
    </row>
    <row r="9" spans="1:1">
      <c r="A9" s="11" t="s">
        <v>708</v>
      </c>
    </row>
  </sheetData>
  <pageMargins left="0.7" right="0.7"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L12"/>
  <sheetViews>
    <sheetView workbookViewId="0">
      <selection activeCell="D18" sqref="D18"/>
    </sheetView>
  </sheetViews>
  <sheetFormatPr defaultColWidth="9" defaultRowHeight="14"/>
  <cols>
    <col min="6" max="6" width="11.6666666666667" customWidth="1"/>
  </cols>
  <sheetData>
    <row r="1" ht="28" spans="1:12">
      <c r="A1" s="1" t="s">
        <v>0</v>
      </c>
      <c r="B1" s="2" t="s">
        <v>709</v>
      </c>
      <c r="C1" s="1"/>
      <c r="D1" s="1"/>
      <c r="E1" s="3" t="s">
        <v>710</v>
      </c>
      <c r="F1" s="3" t="s">
        <v>573</v>
      </c>
      <c r="G1" s="2" t="s">
        <v>194</v>
      </c>
      <c r="H1" s="4"/>
      <c r="I1" s="4"/>
      <c r="J1" s="4"/>
      <c r="K1" s="4"/>
      <c r="L1" s="4"/>
    </row>
    <row r="2" spans="1:12">
      <c r="A2" s="1"/>
      <c r="B2" s="3"/>
      <c r="C2" s="3"/>
      <c r="D2" s="3"/>
      <c r="E2" s="3"/>
      <c r="F2" s="5"/>
      <c r="G2" s="1"/>
      <c r="H2" s="6"/>
      <c r="I2" s="6"/>
      <c r="J2" s="6"/>
      <c r="K2" s="6"/>
      <c r="L2" s="6"/>
    </row>
    <row r="3" spans="1:8">
      <c r="A3" s="7">
        <v>1</v>
      </c>
      <c r="B3" s="7"/>
      <c r="C3" s="1" t="s">
        <v>203</v>
      </c>
      <c r="D3" s="7">
        <f>10000*0.05</f>
        <v>500</v>
      </c>
      <c r="E3" s="7">
        <v>2</v>
      </c>
      <c r="F3" s="8">
        <f>IF(F2&lt;=D3,1,0)</f>
        <v>1</v>
      </c>
      <c r="G3" s="1">
        <f>IF(F3=1,E3/D3*F2,0)</f>
        <v>0</v>
      </c>
      <c r="H3" s="9"/>
    </row>
    <row r="4" spans="1:8">
      <c r="A4" s="7">
        <v>2</v>
      </c>
      <c r="B4" s="7">
        <f>10000*0.05</f>
        <v>500</v>
      </c>
      <c r="C4" s="1" t="s">
        <v>196</v>
      </c>
      <c r="D4" s="7">
        <f>10000*0.1</f>
        <v>1000</v>
      </c>
      <c r="E4" s="7">
        <v>3.5</v>
      </c>
      <c r="F4" s="8">
        <f>IF(AND($F$2&lt;=D4,$F$2&gt;B4),1,0)</f>
        <v>0</v>
      </c>
      <c r="G4" s="1">
        <f>IF(F4=1,(E3+(E4-E3)/(D4-B4)*($F$2-B4)),0)</f>
        <v>0</v>
      </c>
      <c r="H4" s="9"/>
    </row>
    <row r="5" spans="1:8">
      <c r="A5" s="7">
        <v>3</v>
      </c>
      <c r="B5" s="7">
        <f>10000*0.1</f>
        <v>1000</v>
      </c>
      <c r="C5" s="1" t="s">
        <v>196</v>
      </c>
      <c r="D5" s="7">
        <f>10000*0.2</f>
        <v>2000</v>
      </c>
      <c r="E5" s="7">
        <v>5</v>
      </c>
      <c r="F5" s="8">
        <f t="shared" ref="F5:F10" si="0">IF(AND($F$2&lt;=D5,$F$2&gt;B5),1,0)</f>
        <v>0</v>
      </c>
      <c r="G5" s="1">
        <f t="shared" ref="G5:G10" si="1">IF(F5=1,(E4+(E5-E4)/(D5-B5)*($F$2-B5)),0)</f>
        <v>0</v>
      </c>
      <c r="H5" s="9"/>
    </row>
    <row r="6" spans="1:8">
      <c r="A6" s="7">
        <v>4</v>
      </c>
      <c r="B6" s="7">
        <f>10000*0.2</f>
        <v>2000</v>
      </c>
      <c r="C6" s="10" t="s">
        <v>196</v>
      </c>
      <c r="D6" s="7">
        <v>5000</v>
      </c>
      <c r="E6" s="7">
        <v>7</v>
      </c>
      <c r="F6" s="8">
        <f t="shared" si="0"/>
        <v>0</v>
      </c>
      <c r="G6" s="1">
        <f t="shared" si="1"/>
        <v>0</v>
      </c>
      <c r="H6" s="9"/>
    </row>
    <row r="7" spans="1:8">
      <c r="A7" s="7">
        <v>5</v>
      </c>
      <c r="B7" s="7">
        <f>10000*0.5</f>
        <v>5000</v>
      </c>
      <c r="C7" s="1" t="s">
        <v>196</v>
      </c>
      <c r="D7" s="7">
        <v>10000</v>
      </c>
      <c r="E7" s="7">
        <f>0.5*1.5*10000/1000</f>
        <v>7.5</v>
      </c>
      <c r="F7" s="8">
        <f t="shared" si="0"/>
        <v>0</v>
      </c>
      <c r="G7" s="1">
        <f t="shared" si="1"/>
        <v>0</v>
      </c>
      <c r="H7" s="9"/>
    </row>
    <row r="8" spans="1:8">
      <c r="A8" s="7">
        <v>6</v>
      </c>
      <c r="B8" s="7">
        <v>10000</v>
      </c>
      <c r="C8" s="1" t="s">
        <v>196</v>
      </c>
      <c r="D8" s="7">
        <v>20000</v>
      </c>
      <c r="E8" s="7">
        <f>1*10000*1/1000</f>
        <v>10</v>
      </c>
      <c r="F8" s="8">
        <f t="shared" si="0"/>
        <v>0</v>
      </c>
      <c r="G8" s="1">
        <f t="shared" si="1"/>
        <v>0</v>
      </c>
      <c r="H8" s="9"/>
    </row>
    <row r="9" spans="1:8">
      <c r="A9" s="7">
        <v>7</v>
      </c>
      <c r="B9" s="7">
        <v>20000</v>
      </c>
      <c r="C9" s="1" t="s">
        <v>196</v>
      </c>
      <c r="D9" s="7">
        <v>50000</v>
      </c>
      <c r="E9" s="7">
        <f>2*0.7*10000/1000</f>
        <v>14</v>
      </c>
      <c r="F9" s="8">
        <f t="shared" si="0"/>
        <v>0</v>
      </c>
      <c r="G9" s="1">
        <f t="shared" si="1"/>
        <v>0</v>
      </c>
      <c r="H9" s="9"/>
    </row>
    <row r="10" spans="1:8">
      <c r="A10" s="7">
        <v>8</v>
      </c>
      <c r="B10" s="7">
        <v>50000</v>
      </c>
      <c r="C10" s="1" t="s">
        <v>196</v>
      </c>
      <c r="D10" s="7">
        <v>100000</v>
      </c>
      <c r="E10" s="7">
        <f>5*0.4*10000/1000</f>
        <v>20</v>
      </c>
      <c r="F10" s="8">
        <f t="shared" si="0"/>
        <v>0</v>
      </c>
      <c r="G10" s="1">
        <f t="shared" si="1"/>
        <v>0</v>
      </c>
      <c r="H10" s="9"/>
    </row>
    <row r="11" spans="1:8">
      <c r="A11" s="7">
        <v>9</v>
      </c>
      <c r="B11" s="7">
        <v>100000</v>
      </c>
      <c r="C11" s="7"/>
      <c r="D11" s="7"/>
      <c r="E11" s="7">
        <f>10*0.3*10000/1000</f>
        <v>30</v>
      </c>
      <c r="F11" s="8">
        <f>IF(F2&gt;B11,1,0)</f>
        <v>0</v>
      </c>
      <c r="G11" s="1">
        <f>IF(F11=1,E11/B11*F2,0)</f>
        <v>0</v>
      </c>
      <c r="H11" s="9"/>
    </row>
    <row r="12" spans="7:8">
      <c r="G12" s="9"/>
      <c r="H12" s="9"/>
    </row>
  </sheetData>
  <mergeCells count="2">
    <mergeCell ref="B1:D1"/>
    <mergeCell ref="A1:A2"/>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4" master="" otherUserPermission="visible"/>
  <rangeList sheetStid="30" master="" otherUserPermission="visible"/>
  <rangeList sheetStid="18" master="" otherUserPermission="visible"/>
  <rangeList sheetStid="12" master="" otherUserPermission="visible">
    <arrUserId title="区域1" rangeCreator="" othersAccessPermission="edit"/>
  </rangeList>
  <rangeList sheetStid="25" master="" otherUserPermission="visible"/>
  <rangeList sheetStid="27" master="" otherUserPermission="visible"/>
  <rangeList sheetStid="19" master="" otherUserPermission="visible"/>
  <rangeList sheetStid="20" master="" otherUserPermission="visible"/>
  <rangeList sheetStid="28" master="" otherUserPermission="visible"/>
  <rangeList sheetStid="21" master="" otherUserPermission="visible"/>
  <rangeList sheetStid="29" master="" otherUserPermission="visible"/>
  <rangeList sheetStid="23" master="" otherUserPermission="visible"/>
  <rangeList sheetStid="1" master="" otherUserPermission="visible"/>
  <rangeList sheetStid="16" master="" otherUserPermission="visible"/>
  <rangeList sheetStid="15" master="" otherUserPermission="visible"/>
  <rangeList sheetStid="14" master="" otherUserPermission="visible"/>
  <rangeList sheetStid="17" master="" otherUserPermission="visible"/>
  <rangeList sheetStid="5" master="" otherUserPermission="visible"/>
  <rangeList sheetStid="4" master="" otherUserPermission="visible"/>
  <rangeList sheetStid="10" master="" otherUserPermission="visible"/>
  <rangeList sheetStid="9" master="" otherUserPermission="visible"/>
  <rangeList sheetStid="8" master="" otherUserPermission="visible"/>
  <rangeList sheetStid="7" master="" otherUserPermission="visible"/>
  <rangeList sheetStid="6" master="" otherUserPermission="visible"/>
  <rangeList sheetStid="2" master="" otherUserPermission="visible"/>
  <rangeList sheetStid="3"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项目技术经济指标</vt:lpstr>
      <vt:lpstr>标准化指标设定</vt:lpstr>
      <vt:lpstr>总投资估算</vt:lpstr>
      <vt:lpstr>其他费自动计算</vt:lpstr>
      <vt:lpstr>分年计划及建设期利息</vt:lpstr>
      <vt:lpstr>信息采集表</vt:lpstr>
      <vt:lpstr>还本付息</vt:lpstr>
      <vt:lpstr>收入成本</vt:lpstr>
      <vt:lpstr>资金平衡表</vt:lpstr>
      <vt:lpstr>税费计算</vt:lpstr>
      <vt:lpstr>资金流入流出平衡表</vt:lpstr>
      <vt:lpstr>固定资产折旧</vt:lpstr>
      <vt:lpstr>工程建设其他费细则说明</vt:lpstr>
      <vt:lpstr>节能评估文件编制费</vt:lpstr>
      <vt:lpstr>社会稳定风险评估</vt:lpstr>
      <vt:lpstr>水土保持费</vt:lpstr>
      <vt:lpstr>交通影响评估</vt:lpstr>
      <vt:lpstr>环境影响评估</vt:lpstr>
      <vt:lpstr>前期工程咨询费</vt:lpstr>
      <vt:lpstr>施工图审查费</vt:lpstr>
      <vt:lpstr>招标代理费</vt:lpstr>
      <vt:lpstr>造价咨询</vt:lpstr>
      <vt:lpstr>监理费</vt:lpstr>
      <vt:lpstr>设计费</vt:lpstr>
      <vt:lpstr>建设单位管理费</vt:lpstr>
      <vt:lpstr>场地准备费</vt:lpstr>
      <vt:lpstr>安全预评价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Bella</dc:creator>
  <cp:lastModifiedBy>良人痞性</cp:lastModifiedBy>
  <dcterms:created xsi:type="dcterms:W3CDTF">2022-07-14T09:15:00Z</dcterms:created>
  <dcterms:modified xsi:type="dcterms:W3CDTF">2025-06-12T09:08:19Z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52B2B036393A4F218E445F3A87BDF883_13</vt:lpwstr>
  </property>
  <property fmtid="{D5CDD505-2E9C-101B-9397-08002B2CF9AE}" pid="3" name="KSOProductBuildVer">
    <vt:lpwstr>2052-12.1.0.21541</vt:lpwstr>
  </property>
</Properties>
</file>